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51811124 (SEM dengan Variabel Intervening AMOS)\"/>
    </mc:Choice>
  </mc:AlternateContent>
  <xr:revisionPtr revIDLastSave="0" documentId="13_ncr:1_{4370E1D4-C727-4530-9A9F-3A182D2C284F}" xr6:coauthVersionLast="47" xr6:coauthVersionMax="47" xr10:uidLastSave="{00000000-0000-0000-0000-000000000000}"/>
  <bookViews>
    <workbookView xWindow="-110" yWindow="-110" windowWidth="19420" windowHeight="10300" firstSheet="2" activeTab="4" xr2:uid="{EC0033A8-4585-403D-AA47-B5C80D566589}"/>
  </bookViews>
  <sheets>
    <sheet name="Goodness of Fit" sheetId="10" r:id="rId1"/>
    <sheet name="Loading Factor dan Error" sheetId="1" r:id="rId2"/>
    <sheet name="Validitas dan Reliabilitas" sheetId="5" r:id="rId3"/>
    <sheet name="Pengaruh Langsung" sheetId="8" r:id="rId4"/>
    <sheet name="Pengaruh Tidak Langsung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9" l="1"/>
  <c r="C14" i="9"/>
  <c r="C13" i="9"/>
  <c r="Q5" i="8"/>
  <c r="Q6" i="8"/>
  <c r="Q7" i="8"/>
  <c r="Q8" i="8"/>
  <c r="Q4" i="8"/>
  <c r="H39" i="5"/>
  <c r="B39" i="5"/>
  <c r="D37" i="5"/>
  <c r="E35" i="5"/>
  <c r="E39" i="5" s="1"/>
  <c r="G37" i="5"/>
  <c r="H35" i="5"/>
  <c r="J37" i="5"/>
  <c r="K35" i="5"/>
  <c r="M37" i="5"/>
  <c r="K39" i="5" s="1"/>
  <c r="B35" i="5"/>
  <c r="L24" i="5"/>
  <c r="L25" i="5"/>
  <c r="L26" i="5"/>
  <c r="L27" i="5"/>
  <c r="L28" i="5"/>
  <c r="L29" i="5"/>
  <c r="L36" i="5" s="1"/>
  <c r="K38" i="5" s="1"/>
  <c r="L30" i="5"/>
  <c r="L31" i="5"/>
  <c r="L32" i="5"/>
  <c r="L33" i="5"/>
  <c r="L34" i="5"/>
  <c r="L23" i="5"/>
  <c r="I18" i="5"/>
  <c r="I36" i="5" s="1"/>
  <c r="H38" i="5" s="1"/>
  <c r="I19" i="5"/>
  <c r="I20" i="5"/>
  <c r="I21" i="5"/>
  <c r="I22" i="5"/>
  <c r="I17" i="5"/>
  <c r="F10" i="5"/>
  <c r="F11" i="5"/>
  <c r="F12" i="5"/>
  <c r="F13" i="5"/>
  <c r="F14" i="5"/>
  <c r="F15" i="5"/>
  <c r="F36" i="5" s="1"/>
  <c r="E38" i="5" s="1"/>
  <c r="F16" i="5"/>
  <c r="F9" i="5"/>
  <c r="C4" i="5"/>
  <c r="C5" i="5"/>
  <c r="C6" i="5"/>
  <c r="C7" i="5"/>
  <c r="C8" i="5"/>
  <c r="C3" i="5"/>
  <c r="C36" i="5" s="1"/>
  <c r="B38" i="5" s="1"/>
</calcChain>
</file>

<file path=xl/sharedStrings.xml><?xml version="1.0" encoding="utf-8"?>
<sst xmlns="http://schemas.openxmlformats.org/spreadsheetml/2006/main" count="526" uniqueCount="206">
  <si>
    <t>Standardized Regression Weights: (Group number 1 - Default model)</t>
  </si>
  <si>
    <t>Estimate</t>
  </si>
  <si>
    <t>Kepuasan_Pelanggan</t>
  </si>
  <si>
    <t>&lt;---</t>
  </si>
  <si>
    <t>EWOM</t>
  </si>
  <si>
    <t>Media_Sosial</t>
  </si>
  <si>
    <t>Loyalitas_Pelanggan</t>
  </si>
  <si>
    <t>MS1</t>
  </si>
  <si>
    <t>MS2</t>
  </si>
  <si>
    <t>MS3</t>
  </si>
  <si>
    <t>MS4</t>
  </si>
  <si>
    <t>MS5</t>
  </si>
  <si>
    <t>MS6</t>
  </si>
  <si>
    <t>EWM8</t>
  </si>
  <si>
    <t>EWM7</t>
  </si>
  <si>
    <t>EWM6</t>
  </si>
  <si>
    <t>EWM5</t>
  </si>
  <si>
    <t>EWM4</t>
  </si>
  <si>
    <t>EWM3</t>
  </si>
  <si>
    <t>EWM2</t>
  </si>
  <si>
    <t>EWM1</t>
  </si>
  <si>
    <t>KP6</t>
  </si>
  <si>
    <t>KP5</t>
  </si>
  <si>
    <t>KP4</t>
  </si>
  <si>
    <t>KP3</t>
  </si>
  <si>
    <t>KP2</t>
  </si>
  <si>
    <t>KP1</t>
  </si>
  <si>
    <t>LP1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</si>
  <si>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</si>
  <si>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</si>
  <si>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</si>
  <si>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</si>
  <si>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</si>
  <si>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</si>
  <si>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</si>
  <si>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</si>
  <si>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</si>
  <si>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</si>
  <si>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</si>
  <si>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Variances: (Group number 1 - Default model)</t>
  </si>
  <si>
    <t>S.E.</t>
  </si>
  <si>
    <t>C.R.</t>
  </si>
  <si>
    <t>P</t>
  </si>
  <si>
    <t>Label</t>
  </si>
  <si>
    <t>par_66</t>
  </si>
  <si>
    <t>***</t>
  </si>
  <si>
    <t>par_67</t>
  </si>
  <si>
    <t>e33</t>
  </si>
  <si>
    <t>par_68</t>
  </si>
  <si>
    <t>e34</t>
  </si>
  <si>
    <t>par_69</t>
  </si>
  <si>
    <t>e1</t>
  </si>
  <si>
    <t>par_70</t>
  </si>
  <si>
    <t>e2</t>
  </si>
  <si>
    <t>par_71</t>
  </si>
  <si>
    <t>e3</t>
  </si>
  <si>
    <t>par_72</t>
  </si>
  <si>
    <t>e4</t>
  </si>
  <si>
    <t>par_73</t>
  </si>
  <si>
    <t>e5</t>
  </si>
  <si>
    <t>par_74</t>
  </si>
  <si>
    <t>e6</t>
  </si>
  <si>
    <t>par_75</t>
  </si>
  <si>
    <t>e7</t>
  </si>
  <si>
    <t>par_76</t>
  </si>
  <si>
    <t>e8</t>
  </si>
  <si>
    <t>par_77</t>
  </si>
  <si>
    <t>e9</t>
  </si>
  <si>
    <t>par_78</t>
  </si>
  <si>
    <t>e10</t>
  </si>
  <si>
    <t>par_79</t>
  </si>
  <si>
    <t>e11</t>
  </si>
  <si>
    <t>par_80</t>
  </si>
  <si>
    <t>e12</t>
  </si>
  <si>
    <t>par_81</t>
  </si>
  <si>
    <t>e13</t>
  </si>
  <si>
    <t>par_82</t>
  </si>
  <si>
    <t>e14</t>
  </si>
  <si>
    <t>par_83</t>
  </si>
  <si>
    <t>e15</t>
  </si>
  <si>
    <t>par_84</t>
  </si>
  <si>
    <t>e16</t>
  </si>
  <si>
    <t>par_85</t>
  </si>
  <si>
    <t>e17</t>
  </si>
  <si>
    <t>par_86</t>
  </si>
  <si>
    <t>e18</t>
  </si>
  <si>
    <t>par_87</t>
  </si>
  <si>
    <t>e19</t>
  </si>
  <si>
    <t>par_88</t>
  </si>
  <si>
    <t>e20</t>
  </si>
  <si>
    <t>par_89</t>
  </si>
  <si>
    <t>e21</t>
  </si>
  <si>
    <t>par_90</t>
  </si>
  <si>
    <t>e22</t>
  </si>
  <si>
    <t>par_91</t>
  </si>
  <si>
    <t>e23</t>
  </si>
  <si>
    <t>par_92</t>
  </si>
  <si>
    <t>e24</t>
  </si>
  <si>
    <t>par_93</t>
  </si>
  <si>
    <t>e25</t>
  </si>
  <si>
    <t>par_94</t>
  </si>
  <si>
    <t>e26</t>
  </si>
  <si>
    <t>par_95</t>
  </si>
  <si>
    <t>e27</t>
  </si>
  <si>
    <t>par_96</t>
  </si>
  <si>
    <t>e28</t>
  </si>
  <si>
    <t>par_97</t>
  </si>
  <si>
    <t>e29</t>
  </si>
  <si>
    <t>par_98</t>
  </si>
  <si>
    <t>e30</t>
  </si>
  <si>
    <t>par_99</t>
  </si>
  <si>
    <t>e31</t>
  </si>
  <si>
    <t>par_100</t>
  </si>
  <si>
    <t>e32</t>
  </si>
  <si>
    <t>par_101</t>
  </si>
  <si>
    <t>Variabel</t>
  </si>
  <si>
    <t>MS</t>
  </si>
  <si>
    <t>KP</t>
  </si>
  <si>
    <t>LP</t>
  </si>
  <si>
    <t>Indikator</t>
  </si>
  <si>
    <t>Loading</t>
  </si>
  <si>
    <t>Loading^2</t>
  </si>
  <si>
    <t>Error</t>
  </si>
  <si>
    <t>Sum of Std.Loading</t>
  </si>
  <si>
    <t>Sum of Std.Loading^2</t>
  </si>
  <si>
    <t>Sum of Error</t>
  </si>
  <si>
    <t>Variance Extract</t>
  </si>
  <si>
    <t>Construct Variability</t>
  </si>
  <si>
    <t>Regression Weights: (Group number 1 - Default model)</t>
  </si>
  <si>
    <t>par_31</t>
  </si>
  <si>
    <t>par_32</t>
  </si>
  <si>
    <t>par_29</t>
  </si>
  <si>
    <t>par_30</t>
  </si>
  <si>
    <t>par_33</t>
  </si>
  <si>
    <t>par_1</t>
  </si>
  <si>
    <t>par_2</t>
  </si>
  <si>
    <t>par_3</t>
  </si>
  <si>
    <t>par_4</t>
  </si>
  <si>
    <t>par_5</t>
  </si>
  <si>
    <t>par_6</t>
  </si>
  <si>
    <t>par_7</t>
  </si>
  <si>
    <t>par_8</t>
  </si>
  <si>
    <t>par_9</t>
  </si>
  <si>
    <t>par_10</t>
  </si>
  <si>
    <t>par_11</t>
  </si>
  <si>
    <t>par_12</t>
  </si>
  <si>
    <t>par_13</t>
  </si>
  <si>
    <t>par_14</t>
  </si>
  <si>
    <t>par_15</t>
  </si>
  <si>
    <t>par_16</t>
  </si>
  <si>
    <t>par_17</t>
  </si>
  <si>
    <t>par_18</t>
  </si>
  <si>
    <t>par_19</t>
  </si>
  <si>
    <t>par_20</t>
  </si>
  <si>
    <t>par_21</t>
  </si>
  <si>
    <t>par_22</t>
  </si>
  <si>
    <t>par_23</t>
  </si>
  <si>
    <t>par_24</t>
  </si>
  <si>
    <t>par_25</t>
  </si>
  <si>
    <t>par_26</t>
  </si>
  <si>
    <t>par_27</t>
  </si>
  <si>
    <t>par_28</t>
  </si>
  <si>
    <t>Hipotesis</t>
  </si>
  <si>
    <t>Jalur</t>
  </si>
  <si>
    <t>Beta</t>
  </si>
  <si>
    <t>S.E</t>
  </si>
  <si>
    <t>C.R</t>
  </si>
  <si>
    <t>Kesimpulan</t>
  </si>
  <si>
    <t>H1</t>
  </si>
  <si>
    <t>H2</t>
  </si>
  <si>
    <t>H3</t>
  </si>
  <si>
    <t>H4</t>
  </si>
  <si>
    <t>H5</t>
  </si>
  <si>
    <t>MS-&gt;KP</t>
  </si>
  <si>
    <t>EWM-&gt;KP</t>
  </si>
  <si>
    <t>MS-&gt;LP</t>
  </si>
  <si>
    <t>EWM-&gt;LP</t>
  </si>
  <si>
    <t>KP-&gt;LP</t>
  </si>
  <si>
    <t>Tidak Signifikan</t>
  </si>
  <si>
    <t>Signifikan</t>
  </si>
  <si>
    <t>MS-&gt;KP-&gt;LP</t>
  </si>
  <si>
    <t>EWM-&gt;KP-&gt;LP</t>
  </si>
  <si>
    <t>Sobel test</t>
  </si>
  <si>
    <t>t-stat</t>
  </si>
  <si>
    <t>p-value</t>
  </si>
  <si>
    <t>H6</t>
  </si>
  <si>
    <t>H7</t>
  </si>
  <si>
    <t>DF</t>
  </si>
  <si>
    <t>Goodness of Fit</t>
  </si>
  <si>
    <t>Cut-off Value</t>
  </si>
  <si>
    <t>Hasil</t>
  </si>
  <si>
    <t>Evaluasi Model</t>
  </si>
  <si>
    <t>Chi-Square</t>
  </si>
  <si>
    <t xml:space="preserve">&lt; df dengan </t>
  </si>
  <si>
    <t>Model Marginal</t>
  </si>
  <si>
    <t>Sig.</t>
  </si>
  <si>
    <t>RMR</t>
  </si>
  <si>
    <t>Model Baik</t>
  </si>
  <si>
    <t>GFI</t>
  </si>
  <si>
    <t>AGFI</t>
  </si>
  <si>
    <t>CMIN/DF</t>
  </si>
  <si>
    <t>TLI</t>
  </si>
  <si>
    <t>CFI</t>
  </si>
  <si>
    <t>PNFI</t>
  </si>
  <si>
    <t>PGFI</t>
  </si>
  <si>
    <t>RMSEA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</si>
</sst>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/>
    </xf>
    <xf numFmtId="0" fontId="0" fillId="0" borderId="8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0" fillId="0" borderId="3" xfId="0" applyBorder="1"/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top" wrapText="1"/>
    </xf>
    <xf numFmtId="0" fontId="5" fillId="0" borderId="9" xfId="0" applyFont="1" applyBorder="1" applyAlignment="1">
      <alignment vertical="center" wrapText="1"/>
    </xf>
    <xf numFmtId="0" fontId="0" fillId="0" borderId="9" xfId="0" applyBorder="1"/>
    <xf numFmtId="0" fontId="0" fillId="0" borderId="9" xfId="0" applyBorder="1" applyAlignment="1">
      <alignment horizontal="right" vertical="center" wrapText="1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right" vertic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749300</xdr:colOff>
      <xdr:row>1</xdr:row>
      <xdr:rowOff>25400</xdr:rowOff>
    </xdr:from>
    <xdr:to>
      <xdr:col>1</xdr:col>
      <xdr:colOff>1282700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43E3E7-8B19-6B29-2AE0-9DE59CA99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5100" y="387350"/>
          <a:ext cx="5334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406400</xdr:colOff>
      <xdr:row>2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32004D-5DB6-0146-194D-8A624BB06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6600"/>
          <a:ext cx="4064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406400</xdr:colOff>
      <xdr:row>3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AE8A44-A54B-E10D-D3D9-7D6CD04A9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8550"/>
          <a:ext cx="4064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406400</xdr:colOff>
      <xdr:row>4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6C99B4-63DC-F93C-267D-92A8C4518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0500"/>
          <a:ext cx="4064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406400</xdr:colOff>
      <xdr:row>5</xdr:row>
      <xdr:rowOff>177800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00ACF4-5426-1171-AD6C-06C349B75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2450"/>
          <a:ext cx="4064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406400</xdr:colOff>
      <xdr:row>6</xdr:row>
      <xdr:rowOff>177800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3DD94B-8BF1-5561-D828-CE43E8890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84400"/>
          <a:ext cx="4064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406400</xdr:colOff>
      <xdr:row>7</xdr:row>
      <xdr:rowOff>177800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E808831-A8D9-22FC-69DC-5FB1913C2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46350"/>
          <a:ext cx="4064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406400</xdr:colOff>
      <xdr:row>8</xdr:row>
      <xdr:rowOff>177800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0188950-9594-E72E-1C74-3FD097635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08300"/>
          <a:ext cx="4064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406400</xdr:colOff>
      <xdr:row>9</xdr:row>
      <xdr:rowOff>177800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E3B574A-6194-260E-F39A-32126FA38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70250"/>
          <a:ext cx="4064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406400</xdr:colOff>
      <xdr:row>10</xdr:row>
      <xdr:rowOff>177800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57CCF88-8232-7FB7-2C37-2D727D11D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32200"/>
          <a:ext cx="4064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406400</xdr:colOff>
      <xdr:row>11</xdr:row>
      <xdr:rowOff>177800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CF2F242-0441-67A2-986D-730578A50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94150"/>
          <a:ext cx="4064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450850</xdr:colOff>
      <xdr:row>6</xdr:row>
      <xdr:rowOff>19050</xdr:rowOff>
    </xdr:from>
    <xdr:to>
      <xdr:col>3</xdr:col>
      <xdr:colOff>120650</xdr:colOff>
      <xdr:row>9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90E2F2-68C7-0388-AA6C-0EAD1112B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" y="1123950"/>
          <a:ext cx="1758950" cy="53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216F-545D-4E1E-AF27-19E93F4E6D24}">
  <dimension ref="A1:D12"/>
  <sheetViews>
    <sheetView workbookViewId="0">
      <selection activeCell="F12" sqref="F12"/>
    </sheetView>
  </sheetViews>
  <sheetFormatPr defaultRowHeight="14.5" x14ac:dyDescent="0.35"/>
  <cols>
    <col min="1" max="1" width="9.81640625" bestFit="1" customWidth="1"/>
    <col min="2" max="2" width="19.26953125" customWidth="1"/>
    <col min="4" max="4" width="13.7265625" bestFit="1" customWidth="1"/>
  </cols>
  <sheetData>
    <row r="1" spans="1:4" ht="28" x14ac:dyDescent="0.35">
      <c r="A1" s="24" t="s">
        <v>188</v>
      </c>
      <c r="B1" s="24" t="s">
        <v>189</v>
      </c>
      <c r="C1" s="24" t="s">
        <v>190</v>
      </c>
      <c r="D1" s="24" t="s">
        <v>191</v>
      </c>
    </row>
    <row r="2" spans="1:4" x14ac:dyDescent="0.35">
      <c r="A2" s="24" t="s">
        <v>192</v>
      </c>
      <c r="B2" s="24" t="s">
        <v>193</v>
      </c>
      <c r="C2" s="24">
        <v>683.29</v>
      </c>
      <c r="D2" s="24" t="s">
        <v>194</v>
      </c>
    </row>
    <row r="3" spans="1:4" x14ac:dyDescent="0.35">
      <c r="A3" s="24" t="s">
        <v>195</v>
      </c>
      <c r="B3" s="25"/>
      <c r="C3" s="26">
        <v>0</v>
      </c>
      <c r="D3" s="24" t="s">
        <v>194</v>
      </c>
    </row>
    <row r="4" spans="1:4" x14ac:dyDescent="0.35">
      <c r="A4" s="24" t="s">
        <v>196</v>
      </c>
      <c r="B4" s="25"/>
      <c r="C4" s="24">
        <v>4.2000000000000003E-2</v>
      </c>
      <c r="D4" s="24" t="s">
        <v>197</v>
      </c>
    </row>
    <row r="5" spans="1:4" x14ac:dyDescent="0.35">
      <c r="A5" s="24" t="s">
        <v>198</v>
      </c>
      <c r="B5" s="25"/>
      <c r="C5" s="24">
        <v>0.9</v>
      </c>
      <c r="D5" s="24" t="s">
        <v>197</v>
      </c>
    </row>
    <row r="6" spans="1:4" x14ac:dyDescent="0.35">
      <c r="A6" s="24" t="s">
        <v>199</v>
      </c>
      <c r="B6" s="25"/>
      <c r="C6" s="26">
        <v>0.877</v>
      </c>
      <c r="D6" s="24" t="s">
        <v>194</v>
      </c>
    </row>
    <row r="7" spans="1:4" x14ac:dyDescent="0.35">
      <c r="A7" s="24" t="s">
        <v>200</v>
      </c>
      <c r="B7" s="25"/>
      <c r="C7" s="24">
        <v>1.6</v>
      </c>
      <c r="D7" s="24" t="s">
        <v>197</v>
      </c>
    </row>
    <row r="8" spans="1:4" x14ac:dyDescent="0.35">
      <c r="A8" s="24" t="s">
        <v>201</v>
      </c>
      <c r="B8" s="25"/>
      <c r="C8" s="26">
        <v>0.87</v>
      </c>
      <c r="D8" s="24" t="s">
        <v>194</v>
      </c>
    </row>
    <row r="9" spans="1:4" x14ac:dyDescent="0.35">
      <c r="A9" s="24" t="s">
        <v>202</v>
      </c>
      <c r="B9" s="25"/>
      <c r="C9" s="26">
        <v>0.88800000000000001</v>
      </c>
      <c r="D9" s="24" t="s">
        <v>194</v>
      </c>
    </row>
    <row r="10" spans="1:4" x14ac:dyDescent="0.35">
      <c r="A10" s="24" t="s">
        <v>203</v>
      </c>
      <c r="B10" s="25"/>
      <c r="C10" s="24">
        <v>0.65</v>
      </c>
      <c r="D10" s="24" t="s">
        <v>197</v>
      </c>
    </row>
    <row r="11" spans="1:4" x14ac:dyDescent="0.35">
      <c r="A11" s="24" t="s">
        <v>204</v>
      </c>
      <c r="B11" s="25"/>
      <c r="C11" s="24">
        <v>0.72799999999999998</v>
      </c>
      <c r="D11" s="24" t="s">
        <v>197</v>
      </c>
    </row>
    <row r="12" spans="1:4" x14ac:dyDescent="0.35">
      <c r="A12" s="24" t="s">
        <v>205</v>
      </c>
      <c r="B12" s="25"/>
      <c r="C12" s="24">
        <v>0.04</v>
      </c>
      <c r="D12" s="24" t="s">
        <v>197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FA58-5100-471A-97F5-52A2112ECFC6}">
  <dimension ref="A1:S40"/>
  <sheetViews>
    <sheetView topLeftCell="A36" workbookViewId="0">
      <selection activeCell="A3" sqref="A3:D40"/>
    </sheetView>
  </sheetViews>
  <sheetFormatPr defaultRowHeight="14.5" x14ac:dyDescent="0.35"/>
  <sheetData>
    <row r="1" spans="1:19" ht="23.5" x14ac:dyDescent="0.35">
      <c r="A1" s="1" t="s">
        <v>0</v>
      </c>
      <c r="L1" s="1" t="s">
        <v>39</v>
      </c>
    </row>
    <row r="3" spans="1:19" x14ac:dyDescent="0.35">
      <c r="A3" s="9"/>
      <c r="B3" s="10"/>
      <c r="C3" s="11"/>
      <c r="D3" s="12" t="s">
        <v>1</v>
      </c>
      <c r="E3" t="s">
        <v>122</v>
      </c>
      <c r="L3" s="9"/>
      <c r="M3" s="10"/>
      <c r="N3" s="11"/>
      <c r="O3" s="19" t="s">
        <v>1</v>
      </c>
      <c r="P3" s="19" t="s">
        <v>40</v>
      </c>
      <c r="Q3" s="19" t="s">
        <v>41</v>
      </c>
      <c r="R3" s="19" t="s">
        <v>42</v>
      </c>
      <c r="S3" s="20" t="s">
        <v>43</v>
      </c>
    </row>
    <row r="4" spans="1:19" ht="43.5" x14ac:dyDescent="0.35">
      <c r="A4" s="13" t="s">
        <v>2</v>
      </c>
      <c r="B4" s="5" t="s">
        <v>3</v>
      </c>
      <c r="C4" s="6" t="s">
        <v>4</v>
      </c>
      <c r="D4" s="14">
        <v>0.223</v>
      </c>
      <c r="L4" s="21" t="s">
        <v>5</v>
      </c>
      <c r="M4" s="7"/>
      <c r="N4" s="14"/>
      <c r="O4" s="7">
        <v>2.8000000000000001E-2</v>
      </c>
      <c r="P4" s="7">
        <v>1.7999999999999999E-2</v>
      </c>
      <c r="Q4" s="7">
        <v>1.544</v>
      </c>
      <c r="R4" s="7">
        <v>0.123</v>
      </c>
      <c r="S4" s="6" t="s">
        <v>44</v>
      </c>
    </row>
    <row r="5" spans="1:19" ht="43.5" x14ac:dyDescent="0.35">
      <c r="A5" s="13" t="s">
        <v>2</v>
      </c>
      <c r="B5" s="5" t="s">
        <v>3</v>
      </c>
      <c r="C5" s="6" t="s">
        <v>5</v>
      </c>
      <c r="D5" s="14">
        <v>1.4999999999999999E-2</v>
      </c>
      <c r="L5" s="21" t="s">
        <v>4</v>
      </c>
      <c r="M5" s="7"/>
      <c r="N5" s="14"/>
      <c r="O5" s="7">
        <v>0.33900000000000002</v>
      </c>
      <c r="P5" s="7">
        <v>5.5E-2</v>
      </c>
      <c r="Q5" s="7">
        <v>6.1859999999999999</v>
      </c>
      <c r="R5" s="7" t="s">
        <v>45</v>
      </c>
      <c r="S5" s="6" t="s">
        <v>46</v>
      </c>
    </row>
    <row r="6" spans="1:19" ht="43.5" x14ac:dyDescent="0.35">
      <c r="A6" s="13" t="s">
        <v>6</v>
      </c>
      <c r="B6" s="5" t="s">
        <v>3</v>
      </c>
      <c r="C6" s="6" t="s">
        <v>5</v>
      </c>
      <c r="D6" s="15">
        <v>-0.28999999999999998</v>
      </c>
      <c r="L6" s="21" t="s">
        <v>47</v>
      </c>
      <c r="M6" s="7"/>
      <c r="N6" s="14"/>
      <c r="O6" s="7">
        <v>9.6000000000000002E-2</v>
      </c>
      <c r="P6" s="7">
        <v>0.03</v>
      </c>
      <c r="Q6" s="7">
        <v>3.1509999999999998</v>
      </c>
      <c r="R6" s="7">
        <v>2E-3</v>
      </c>
      <c r="S6" s="6" t="s">
        <v>48</v>
      </c>
    </row>
    <row r="7" spans="1:19" ht="43.5" x14ac:dyDescent="0.35">
      <c r="A7" s="13" t="s">
        <v>6</v>
      </c>
      <c r="B7" s="5" t="s">
        <v>3</v>
      </c>
      <c r="C7" s="6" t="s">
        <v>4</v>
      </c>
      <c r="D7" s="14">
        <v>0.71899999999999997</v>
      </c>
      <c r="L7" s="21" t="s">
        <v>49</v>
      </c>
      <c r="M7" s="7"/>
      <c r="N7" s="14"/>
      <c r="O7" s="7">
        <v>0</v>
      </c>
      <c r="P7" s="7">
        <v>1E-3</v>
      </c>
      <c r="Q7" s="7">
        <v>0.26300000000000001</v>
      </c>
      <c r="R7" s="7">
        <v>0.79200000000000004</v>
      </c>
      <c r="S7" s="6" t="s">
        <v>50</v>
      </c>
    </row>
    <row r="8" spans="1:19" ht="43.5" x14ac:dyDescent="0.35">
      <c r="A8" s="13" t="s">
        <v>6</v>
      </c>
      <c r="B8" s="5" t="s">
        <v>3</v>
      </c>
      <c r="C8" s="6" t="s">
        <v>2</v>
      </c>
      <c r="D8" s="15">
        <v>-8.4000000000000005E-2</v>
      </c>
      <c r="L8" s="21" t="s">
        <v>51</v>
      </c>
      <c r="M8" s="7"/>
      <c r="N8" s="14"/>
      <c r="O8" s="7">
        <v>0.78300000000000003</v>
      </c>
      <c r="P8" s="7">
        <v>5.8000000000000003E-2</v>
      </c>
      <c r="Q8" s="7">
        <v>13.577</v>
      </c>
      <c r="R8" s="7" t="s">
        <v>45</v>
      </c>
      <c r="S8" s="6" t="s">
        <v>52</v>
      </c>
    </row>
    <row r="9" spans="1:19" ht="29" x14ac:dyDescent="0.35">
      <c r="A9" s="13" t="s">
        <v>7</v>
      </c>
      <c r="B9" s="5" t="s">
        <v>3</v>
      </c>
      <c r="C9" s="6" t="s">
        <v>5</v>
      </c>
      <c r="D9" s="14">
        <v>0.187</v>
      </c>
      <c r="E9">
        <v>0.78300000000000003</v>
      </c>
      <c r="L9" s="21" t="s">
        <v>53</v>
      </c>
      <c r="M9" s="7"/>
      <c r="N9" s="14"/>
      <c r="O9" s="7">
        <v>0.60099999999999998</v>
      </c>
      <c r="P9" s="7">
        <v>4.8000000000000001E-2</v>
      </c>
      <c r="Q9" s="7">
        <v>12.58</v>
      </c>
      <c r="R9" s="7" t="s">
        <v>45</v>
      </c>
      <c r="S9" s="6" t="s">
        <v>54</v>
      </c>
    </row>
    <row r="10" spans="1:19" ht="29" x14ac:dyDescent="0.35">
      <c r="A10" s="13" t="s">
        <v>8</v>
      </c>
      <c r="B10" s="5" t="s">
        <v>3</v>
      </c>
      <c r="C10" s="6" t="s">
        <v>5</v>
      </c>
      <c r="D10" s="14">
        <v>0.38800000000000001</v>
      </c>
      <c r="E10">
        <v>0.60099999999999998</v>
      </c>
      <c r="L10" s="21" t="s">
        <v>55</v>
      </c>
      <c r="M10" s="7"/>
      <c r="N10" s="14"/>
      <c r="O10" s="7">
        <v>0.59299999999999997</v>
      </c>
      <c r="P10" s="7">
        <v>4.8000000000000001E-2</v>
      </c>
      <c r="Q10" s="7">
        <v>12.458</v>
      </c>
      <c r="R10" s="7" t="s">
        <v>45</v>
      </c>
      <c r="S10" s="6" t="s">
        <v>56</v>
      </c>
    </row>
    <row r="11" spans="1:19" ht="29" x14ac:dyDescent="0.35">
      <c r="A11" s="13" t="s">
        <v>9</v>
      </c>
      <c r="B11" s="5" t="s">
        <v>3</v>
      </c>
      <c r="C11" s="6" t="s">
        <v>5</v>
      </c>
      <c r="D11" s="14">
        <v>0.41</v>
      </c>
      <c r="E11">
        <v>0.59299999999999997</v>
      </c>
      <c r="L11" s="21" t="s">
        <v>57</v>
      </c>
      <c r="M11" s="7"/>
      <c r="N11" s="14"/>
      <c r="O11" s="7">
        <v>0.42299999999999999</v>
      </c>
      <c r="P11" s="7">
        <v>5.3999999999999999E-2</v>
      </c>
      <c r="Q11" s="7">
        <v>7.8849999999999998</v>
      </c>
      <c r="R11" s="7" t="s">
        <v>45</v>
      </c>
      <c r="S11" s="6" t="s">
        <v>58</v>
      </c>
    </row>
    <row r="12" spans="1:19" ht="29" x14ac:dyDescent="0.35">
      <c r="A12" s="13" t="s">
        <v>10</v>
      </c>
      <c r="B12" s="5" t="s">
        <v>3</v>
      </c>
      <c r="C12" s="6" t="s">
        <v>5</v>
      </c>
      <c r="D12" s="14">
        <v>0.67700000000000005</v>
      </c>
      <c r="E12">
        <v>0.42299999999999999</v>
      </c>
      <c r="L12" s="21" t="s">
        <v>59</v>
      </c>
      <c r="M12" s="7"/>
      <c r="N12" s="14"/>
      <c r="O12" s="7">
        <v>0.47499999999999998</v>
      </c>
      <c r="P12" s="7">
        <v>5.1999999999999998E-2</v>
      </c>
      <c r="Q12" s="7">
        <v>9.0649999999999995</v>
      </c>
      <c r="R12" s="7" t="s">
        <v>45</v>
      </c>
      <c r="S12" s="6" t="s">
        <v>60</v>
      </c>
    </row>
    <row r="13" spans="1:19" ht="29" x14ac:dyDescent="0.35">
      <c r="A13" s="13" t="s">
        <v>11</v>
      </c>
      <c r="B13" s="5" t="s">
        <v>3</v>
      </c>
      <c r="C13" s="6" t="s">
        <v>5</v>
      </c>
      <c r="D13" s="14">
        <v>0.63300000000000001</v>
      </c>
      <c r="E13">
        <v>0.47499999999999998</v>
      </c>
      <c r="L13" s="21" t="s">
        <v>61</v>
      </c>
      <c r="M13" s="7"/>
      <c r="N13" s="14"/>
      <c r="O13" s="7">
        <v>0.57099999999999995</v>
      </c>
      <c r="P13" s="7">
        <v>4.2999999999999997E-2</v>
      </c>
      <c r="Q13" s="7">
        <v>13.161</v>
      </c>
      <c r="R13" s="7" t="s">
        <v>45</v>
      </c>
      <c r="S13" s="6" t="s">
        <v>62</v>
      </c>
    </row>
    <row r="14" spans="1:19" ht="29" x14ac:dyDescent="0.35">
      <c r="A14" s="13" t="s">
        <v>12</v>
      </c>
      <c r="B14" s="5" t="s">
        <v>3</v>
      </c>
      <c r="C14" s="6" t="s">
        <v>5</v>
      </c>
      <c r="D14" s="14">
        <v>0.309</v>
      </c>
      <c r="E14">
        <v>0.57099999999999995</v>
      </c>
      <c r="L14" s="21" t="s">
        <v>63</v>
      </c>
      <c r="M14" s="7"/>
      <c r="N14" s="14"/>
      <c r="O14" s="7">
        <v>0.46700000000000003</v>
      </c>
      <c r="P14" s="7">
        <v>4.2999999999999997E-2</v>
      </c>
      <c r="Q14" s="7">
        <v>10.747</v>
      </c>
      <c r="R14" s="7" t="s">
        <v>45</v>
      </c>
      <c r="S14" s="6" t="s">
        <v>64</v>
      </c>
    </row>
    <row r="15" spans="1:19" x14ac:dyDescent="0.35">
      <c r="A15" s="13" t="s">
        <v>13</v>
      </c>
      <c r="B15" s="5" t="s">
        <v>3</v>
      </c>
      <c r="C15" s="6" t="s">
        <v>4</v>
      </c>
      <c r="D15" s="14">
        <v>0.64800000000000002</v>
      </c>
      <c r="E15">
        <v>0.46700000000000003</v>
      </c>
      <c r="L15" s="21" t="s">
        <v>65</v>
      </c>
      <c r="M15" s="7"/>
      <c r="N15" s="14"/>
      <c r="O15" s="7">
        <v>0.434</v>
      </c>
      <c r="P15" s="7">
        <v>4.1000000000000002E-2</v>
      </c>
      <c r="Q15" s="7">
        <v>10.613</v>
      </c>
      <c r="R15" s="7" t="s">
        <v>45</v>
      </c>
      <c r="S15" s="6" t="s">
        <v>66</v>
      </c>
    </row>
    <row r="16" spans="1:19" x14ac:dyDescent="0.35">
      <c r="A16" s="13" t="s">
        <v>14</v>
      </c>
      <c r="B16" s="5" t="s">
        <v>3</v>
      </c>
      <c r="C16" s="6" t="s">
        <v>4</v>
      </c>
      <c r="D16" s="14">
        <v>0.63600000000000001</v>
      </c>
      <c r="E16">
        <v>0.434</v>
      </c>
      <c r="L16" s="21" t="s">
        <v>67</v>
      </c>
      <c r="M16" s="7"/>
      <c r="N16" s="14"/>
      <c r="O16" s="7">
        <v>0.48299999999999998</v>
      </c>
      <c r="P16" s="7">
        <v>4.1000000000000002E-2</v>
      </c>
      <c r="Q16" s="7">
        <v>11.829000000000001</v>
      </c>
      <c r="R16" s="7" t="s">
        <v>45</v>
      </c>
      <c r="S16" s="6" t="s">
        <v>68</v>
      </c>
    </row>
    <row r="17" spans="1:19" x14ac:dyDescent="0.35">
      <c r="A17" s="13" t="s">
        <v>15</v>
      </c>
      <c r="B17" s="5" t="s">
        <v>3</v>
      </c>
      <c r="C17" s="6" t="s">
        <v>4</v>
      </c>
      <c r="D17" s="14">
        <v>0.55100000000000005</v>
      </c>
      <c r="E17">
        <v>0.48299999999999998</v>
      </c>
      <c r="L17" s="21" t="s">
        <v>69</v>
      </c>
      <c r="M17" s="7"/>
      <c r="N17" s="14"/>
      <c r="O17" s="7">
        <v>0.39700000000000002</v>
      </c>
      <c r="P17" s="7">
        <v>3.9E-2</v>
      </c>
      <c r="Q17" s="7">
        <v>10.127000000000001</v>
      </c>
      <c r="R17" s="7" t="s">
        <v>45</v>
      </c>
      <c r="S17" s="6" t="s">
        <v>70</v>
      </c>
    </row>
    <row r="18" spans="1:19" x14ac:dyDescent="0.35">
      <c r="A18" s="13" t="s">
        <v>16</v>
      </c>
      <c r="B18" s="5" t="s">
        <v>3</v>
      </c>
      <c r="C18" s="6" t="s">
        <v>4</v>
      </c>
      <c r="D18" s="14">
        <v>0.65700000000000003</v>
      </c>
      <c r="E18">
        <v>0.39700000000000002</v>
      </c>
      <c r="L18" s="21" t="s">
        <v>71</v>
      </c>
      <c r="M18" s="7"/>
      <c r="N18" s="14"/>
      <c r="O18" s="7">
        <v>0.65600000000000003</v>
      </c>
      <c r="P18" s="7">
        <v>5.0999999999999997E-2</v>
      </c>
      <c r="Q18" s="7">
        <v>12.864000000000001</v>
      </c>
      <c r="R18" s="7" t="s">
        <v>45</v>
      </c>
      <c r="S18" s="6" t="s">
        <v>72</v>
      </c>
    </row>
    <row r="19" spans="1:19" x14ac:dyDescent="0.35">
      <c r="A19" s="13" t="s">
        <v>17</v>
      </c>
      <c r="B19" s="5" t="s">
        <v>3</v>
      </c>
      <c r="C19" s="6" t="s">
        <v>4</v>
      </c>
      <c r="D19" s="14">
        <v>0.41299999999999998</v>
      </c>
      <c r="E19">
        <v>0.65600000000000003</v>
      </c>
      <c r="L19" s="21" t="s">
        <v>73</v>
      </c>
      <c r="M19" s="7"/>
      <c r="N19" s="14"/>
      <c r="O19" s="7">
        <v>0.69399999999999995</v>
      </c>
      <c r="P19" s="7">
        <v>4.7E-2</v>
      </c>
      <c r="Q19" s="7">
        <v>14.823</v>
      </c>
      <c r="R19" s="7" t="s">
        <v>45</v>
      </c>
      <c r="S19" s="6" t="s">
        <v>74</v>
      </c>
    </row>
    <row r="20" spans="1:19" x14ac:dyDescent="0.35">
      <c r="A20" s="13" t="s">
        <v>18</v>
      </c>
      <c r="B20" s="5" t="s">
        <v>3</v>
      </c>
      <c r="C20" s="6" t="s">
        <v>4</v>
      </c>
      <c r="D20" s="14">
        <v>0.219</v>
      </c>
      <c r="E20">
        <v>0.69399999999999995</v>
      </c>
      <c r="L20" s="21" t="s">
        <v>75</v>
      </c>
      <c r="M20" s="7"/>
      <c r="N20" s="14"/>
      <c r="O20" s="7">
        <v>0.69299999999999995</v>
      </c>
      <c r="P20" s="7">
        <v>5.0999999999999997E-2</v>
      </c>
      <c r="Q20" s="7">
        <v>13.657</v>
      </c>
      <c r="R20" s="7" t="s">
        <v>45</v>
      </c>
      <c r="S20" s="6" t="s">
        <v>76</v>
      </c>
    </row>
    <row r="21" spans="1:19" x14ac:dyDescent="0.35">
      <c r="A21" s="13" t="s">
        <v>19</v>
      </c>
      <c r="B21" s="5" t="s">
        <v>3</v>
      </c>
      <c r="C21" s="6" t="s">
        <v>4</v>
      </c>
      <c r="D21" s="14">
        <v>0.192</v>
      </c>
      <c r="E21">
        <v>0.69299999999999995</v>
      </c>
      <c r="L21" s="21" t="s">
        <v>77</v>
      </c>
      <c r="M21" s="7"/>
      <c r="N21" s="14"/>
      <c r="O21" s="7">
        <v>0.73899999999999999</v>
      </c>
      <c r="P21" s="7">
        <v>0.05</v>
      </c>
      <c r="Q21" s="7">
        <v>14.784000000000001</v>
      </c>
      <c r="R21" s="7" t="s">
        <v>45</v>
      </c>
      <c r="S21" s="6" t="s">
        <v>78</v>
      </c>
    </row>
    <row r="22" spans="1:19" x14ac:dyDescent="0.35">
      <c r="A22" s="13" t="s">
        <v>20</v>
      </c>
      <c r="B22" s="5" t="s">
        <v>3</v>
      </c>
      <c r="C22" s="6" t="s">
        <v>4</v>
      </c>
      <c r="D22" s="14">
        <v>5.8999999999999997E-2</v>
      </c>
      <c r="E22">
        <v>0.73899999999999999</v>
      </c>
      <c r="L22" s="21" t="s">
        <v>79</v>
      </c>
      <c r="M22" s="7"/>
      <c r="N22" s="14"/>
      <c r="O22" s="7">
        <v>0.72499999999999998</v>
      </c>
      <c r="P22" s="7">
        <v>5.5E-2</v>
      </c>
      <c r="Q22" s="7">
        <v>13.112</v>
      </c>
      <c r="R22" s="7" t="s">
        <v>45</v>
      </c>
      <c r="S22" s="6" t="s">
        <v>80</v>
      </c>
    </row>
    <row r="23" spans="1:19" ht="43.5" x14ac:dyDescent="0.35">
      <c r="A23" s="13" t="s">
        <v>21</v>
      </c>
      <c r="B23" s="5" t="s">
        <v>3</v>
      </c>
      <c r="C23" s="6" t="s">
        <v>2</v>
      </c>
      <c r="D23" s="14">
        <v>0.35</v>
      </c>
      <c r="E23">
        <v>0.72499999999999998</v>
      </c>
      <c r="L23" s="21" t="s">
        <v>81</v>
      </c>
      <c r="M23" s="7"/>
      <c r="N23" s="14"/>
      <c r="O23" s="7">
        <v>0.54800000000000004</v>
      </c>
      <c r="P23" s="7">
        <v>4.3999999999999997E-2</v>
      </c>
      <c r="Q23" s="7">
        <v>12.542999999999999</v>
      </c>
      <c r="R23" s="7" t="s">
        <v>45</v>
      </c>
      <c r="S23" s="6" t="s">
        <v>82</v>
      </c>
    </row>
    <row r="24" spans="1:19" ht="43.5" x14ac:dyDescent="0.35">
      <c r="A24" s="13" t="s">
        <v>22</v>
      </c>
      <c r="B24" s="5" t="s">
        <v>3</v>
      </c>
      <c r="C24" s="6" t="s">
        <v>2</v>
      </c>
      <c r="D24" s="14">
        <v>0.436</v>
      </c>
      <c r="E24">
        <v>0.54800000000000004</v>
      </c>
      <c r="L24" s="21" t="s">
        <v>83</v>
      </c>
      <c r="M24" s="7"/>
      <c r="N24" s="14"/>
      <c r="O24" s="7">
        <v>0.54900000000000004</v>
      </c>
      <c r="P24" s="7">
        <v>4.9000000000000002E-2</v>
      </c>
      <c r="Q24" s="7">
        <v>11.115</v>
      </c>
      <c r="R24" s="7" t="s">
        <v>45</v>
      </c>
      <c r="S24" s="6" t="s">
        <v>84</v>
      </c>
    </row>
    <row r="25" spans="1:19" ht="43.5" x14ac:dyDescent="0.35">
      <c r="A25" s="13" t="s">
        <v>23</v>
      </c>
      <c r="B25" s="5" t="s">
        <v>3</v>
      </c>
      <c r="C25" s="6" t="s">
        <v>2</v>
      </c>
      <c r="D25" s="14">
        <v>0.57899999999999996</v>
      </c>
      <c r="E25">
        <v>0.54900000000000004</v>
      </c>
      <c r="L25" s="21" t="s">
        <v>85</v>
      </c>
      <c r="M25" s="7"/>
      <c r="N25" s="14"/>
      <c r="O25" s="7">
        <v>0.30499999999999999</v>
      </c>
      <c r="P25" s="7">
        <v>4.5999999999999999E-2</v>
      </c>
      <c r="Q25" s="7">
        <v>6.6529999999999996</v>
      </c>
      <c r="R25" s="7" t="s">
        <v>45</v>
      </c>
      <c r="S25" s="6" t="s">
        <v>86</v>
      </c>
    </row>
    <row r="26" spans="1:19" ht="43.5" x14ac:dyDescent="0.35">
      <c r="A26" s="13" t="s">
        <v>24</v>
      </c>
      <c r="B26" s="5" t="s">
        <v>3</v>
      </c>
      <c r="C26" s="6" t="s">
        <v>2</v>
      </c>
      <c r="D26" s="14">
        <v>0.76200000000000001</v>
      </c>
      <c r="E26">
        <v>0.30499999999999999</v>
      </c>
      <c r="L26" s="21" t="s">
        <v>87</v>
      </c>
      <c r="M26" s="7"/>
      <c r="N26" s="14"/>
      <c r="O26" s="7">
        <v>0.60099999999999998</v>
      </c>
      <c r="P26" s="7">
        <v>4.9000000000000002E-2</v>
      </c>
      <c r="Q26" s="7">
        <v>12.266</v>
      </c>
      <c r="R26" s="7" t="s">
        <v>45</v>
      </c>
      <c r="S26" s="6" t="s">
        <v>88</v>
      </c>
    </row>
    <row r="27" spans="1:19" ht="43.5" x14ac:dyDescent="0.35">
      <c r="A27" s="13" t="s">
        <v>25</v>
      </c>
      <c r="B27" s="5" t="s">
        <v>3</v>
      </c>
      <c r="C27" s="6" t="s">
        <v>2</v>
      </c>
      <c r="D27" s="14">
        <v>0.47199999999999998</v>
      </c>
      <c r="E27">
        <v>0.60099999999999998</v>
      </c>
      <c r="L27" s="21" t="s">
        <v>89</v>
      </c>
      <c r="M27" s="7"/>
      <c r="N27" s="14"/>
      <c r="O27" s="7">
        <v>0.63500000000000001</v>
      </c>
      <c r="P27" s="7">
        <v>5.1999999999999998E-2</v>
      </c>
      <c r="Q27" s="7">
        <v>12.259</v>
      </c>
      <c r="R27" s="7" t="s">
        <v>45</v>
      </c>
      <c r="S27" s="6" t="s">
        <v>90</v>
      </c>
    </row>
    <row r="28" spans="1:19" ht="43.5" x14ac:dyDescent="0.35">
      <c r="A28" s="13" t="s">
        <v>26</v>
      </c>
      <c r="B28" s="5" t="s">
        <v>3</v>
      </c>
      <c r="C28" s="6" t="s">
        <v>2</v>
      </c>
      <c r="D28" s="14">
        <v>0.47499999999999998</v>
      </c>
      <c r="E28">
        <v>0.63500000000000001</v>
      </c>
      <c r="L28" s="21" t="s">
        <v>91</v>
      </c>
      <c r="M28" s="7"/>
      <c r="N28" s="14"/>
      <c r="O28" s="7">
        <v>0.61399999999999999</v>
      </c>
      <c r="P28" s="7">
        <v>4.3999999999999997E-2</v>
      </c>
      <c r="Q28" s="7">
        <v>13.994999999999999</v>
      </c>
      <c r="R28" s="7" t="s">
        <v>45</v>
      </c>
      <c r="S28" s="6" t="s">
        <v>92</v>
      </c>
    </row>
    <row r="29" spans="1:19" ht="43.5" x14ac:dyDescent="0.35">
      <c r="A29" s="13" t="s">
        <v>27</v>
      </c>
      <c r="B29" s="5" t="s">
        <v>3</v>
      </c>
      <c r="C29" s="6" t="s">
        <v>6</v>
      </c>
      <c r="D29" s="14">
        <v>3.1E-2</v>
      </c>
      <c r="E29">
        <v>0.61399999999999999</v>
      </c>
      <c r="L29" s="21" t="s">
        <v>93</v>
      </c>
      <c r="M29" s="7"/>
      <c r="N29" s="14"/>
      <c r="O29" s="7">
        <v>0.53200000000000003</v>
      </c>
      <c r="P29" s="7">
        <v>4.5999999999999999E-2</v>
      </c>
      <c r="Q29" s="7">
        <v>11.624000000000001</v>
      </c>
      <c r="R29" s="7" t="s">
        <v>45</v>
      </c>
      <c r="S29" s="6" t="s">
        <v>94</v>
      </c>
    </row>
    <row r="30" spans="1:19" ht="43.5" x14ac:dyDescent="0.35">
      <c r="A30" s="13" t="s">
        <v>28</v>
      </c>
      <c r="B30" s="5" t="s">
        <v>3</v>
      </c>
      <c r="C30" s="6" t="s">
        <v>6</v>
      </c>
      <c r="D30" s="14">
        <v>0.55800000000000005</v>
      </c>
      <c r="E30">
        <v>0.53200000000000003</v>
      </c>
      <c r="L30" s="21" t="s">
        <v>95</v>
      </c>
      <c r="M30" s="7"/>
      <c r="N30" s="14"/>
      <c r="O30" s="7">
        <v>0.73499999999999999</v>
      </c>
      <c r="P30" s="7">
        <v>5.1999999999999998E-2</v>
      </c>
      <c r="Q30" s="7">
        <v>14.148999999999999</v>
      </c>
      <c r="R30" s="7" t="s">
        <v>45</v>
      </c>
      <c r="S30" s="6" t="s">
        <v>96</v>
      </c>
    </row>
    <row r="31" spans="1:19" ht="43.5" x14ac:dyDescent="0.35">
      <c r="A31" s="13" t="s">
        <v>29</v>
      </c>
      <c r="B31" s="5" t="s">
        <v>3</v>
      </c>
      <c r="C31" s="6" t="s">
        <v>6</v>
      </c>
      <c r="D31" s="14">
        <v>0.13400000000000001</v>
      </c>
      <c r="E31">
        <v>0.73499999999999999</v>
      </c>
      <c r="L31" s="21" t="s">
        <v>97</v>
      </c>
      <c r="M31" s="7"/>
      <c r="N31" s="14"/>
      <c r="O31" s="7">
        <v>0.54700000000000004</v>
      </c>
      <c r="P31" s="7">
        <v>0.04</v>
      </c>
      <c r="Q31" s="7">
        <v>13.611000000000001</v>
      </c>
      <c r="R31" s="7" t="s">
        <v>45</v>
      </c>
      <c r="S31" s="6" t="s">
        <v>98</v>
      </c>
    </row>
    <row r="32" spans="1:19" ht="43.5" x14ac:dyDescent="0.35">
      <c r="A32" s="13" t="s">
        <v>30</v>
      </c>
      <c r="B32" s="5" t="s">
        <v>3</v>
      </c>
      <c r="C32" s="6" t="s">
        <v>6</v>
      </c>
      <c r="D32" s="14">
        <v>4.4999999999999998E-2</v>
      </c>
      <c r="E32">
        <v>0.54700000000000004</v>
      </c>
      <c r="L32" s="21" t="s">
        <v>99</v>
      </c>
      <c r="M32" s="7"/>
      <c r="N32" s="14"/>
      <c r="O32" s="7">
        <v>0.68600000000000005</v>
      </c>
      <c r="P32" s="7">
        <v>4.9000000000000002E-2</v>
      </c>
      <c r="Q32" s="7">
        <v>14.083</v>
      </c>
      <c r="R32" s="7" t="s">
        <v>45</v>
      </c>
      <c r="S32" s="6" t="s">
        <v>100</v>
      </c>
    </row>
    <row r="33" spans="1:19" ht="43.5" x14ac:dyDescent="0.35">
      <c r="A33" s="13" t="s">
        <v>31</v>
      </c>
      <c r="B33" s="5" t="s">
        <v>3</v>
      </c>
      <c r="C33" s="6" t="s">
        <v>6</v>
      </c>
      <c r="D33" s="14">
        <v>0.14399999999999999</v>
      </c>
      <c r="E33">
        <v>0.68600000000000005</v>
      </c>
      <c r="L33" s="21" t="s">
        <v>101</v>
      </c>
      <c r="M33" s="7"/>
      <c r="N33" s="14"/>
      <c r="O33" s="7">
        <v>0.56599999999999995</v>
      </c>
      <c r="P33" s="7">
        <v>4.2999999999999997E-2</v>
      </c>
      <c r="Q33" s="7">
        <v>13.256</v>
      </c>
      <c r="R33" s="7" t="s">
        <v>45</v>
      </c>
      <c r="S33" s="6" t="s">
        <v>102</v>
      </c>
    </row>
    <row r="34" spans="1:19" ht="43.5" x14ac:dyDescent="0.35">
      <c r="A34" s="13" t="s">
        <v>32</v>
      </c>
      <c r="B34" s="5" t="s">
        <v>3</v>
      </c>
      <c r="C34" s="6" t="s">
        <v>6</v>
      </c>
      <c r="D34" s="14">
        <v>0.35099999999999998</v>
      </c>
      <c r="E34">
        <v>0.56599999999999995</v>
      </c>
      <c r="L34" s="21" t="s">
        <v>103</v>
      </c>
      <c r="M34" s="7"/>
      <c r="N34" s="14"/>
      <c r="O34" s="7">
        <v>0.47799999999999998</v>
      </c>
      <c r="P34" s="7">
        <v>3.9E-2</v>
      </c>
      <c r="Q34" s="7">
        <v>12.29</v>
      </c>
      <c r="R34" s="7" t="s">
        <v>45</v>
      </c>
      <c r="S34" s="6" t="s">
        <v>104</v>
      </c>
    </row>
    <row r="35" spans="1:19" ht="43.5" x14ac:dyDescent="0.35">
      <c r="A35" s="13" t="s">
        <v>33</v>
      </c>
      <c r="B35" s="5" t="s">
        <v>3</v>
      </c>
      <c r="C35" s="6" t="s">
        <v>6</v>
      </c>
      <c r="D35" s="14">
        <v>0.47799999999999998</v>
      </c>
      <c r="E35">
        <v>0.47799999999999998</v>
      </c>
      <c r="L35" s="21" t="s">
        <v>105</v>
      </c>
      <c r="M35" s="7"/>
      <c r="N35" s="14"/>
      <c r="O35" s="7">
        <v>0.40799999999999997</v>
      </c>
      <c r="P35" s="7">
        <v>3.9E-2</v>
      </c>
      <c r="Q35" s="7">
        <v>10.387</v>
      </c>
      <c r="R35" s="7" t="s">
        <v>45</v>
      </c>
      <c r="S35" s="6" t="s">
        <v>106</v>
      </c>
    </row>
    <row r="36" spans="1:19" ht="43.5" x14ac:dyDescent="0.35">
      <c r="A36" s="13" t="s">
        <v>34</v>
      </c>
      <c r="B36" s="5" t="s">
        <v>3</v>
      </c>
      <c r="C36" s="6" t="s">
        <v>6</v>
      </c>
      <c r="D36" s="14">
        <v>0.63300000000000001</v>
      </c>
      <c r="E36">
        <v>0.40799999999999997</v>
      </c>
      <c r="L36" s="21" t="s">
        <v>107</v>
      </c>
      <c r="M36" s="7"/>
      <c r="N36" s="14"/>
      <c r="O36" s="7">
        <v>0.57599999999999996</v>
      </c>
      <c r="P36" s="7">
        <v>4.7E-2</v>
      </c>
      <c r="Q36" s="7">
        <v>12.228</v>
      </c>
      <c r="R36" s="7" t="s">
        <v>45</v>
      </c>
      <c r="S36" s="6" t="s">
        <v>108</v>
      </c>
    </row>
    <row r="37" spans="1:19" ht="43.5" x14ac:dyDescent="0.35">
      <c r="A37" s="13" t="s">
        <v>35</v>
      </c>
      <c r="B37" s="5" t="s">
        <v>3</v>
      </c>
      <c r="C37" s="6" t="s">
        <v>6</v>
      </c>
      <c r="D37" s="14">
        <v>0.49099999999999999</v>
      </c>
      <c r="E37">
        <v>0.57599999999999996</v>
      </c>
      <c r="L37" s="21" t="s">
        <v>109</v>
      </c>
      <c r="M37" s="7"/>
      <c r="N37" s="14"/>
      <c r="O37" s="7">
        <v>0.71699999999999997</v>
      </c>
      <c r="P37" s="7">
        <v>5.1999999999999998E-2</v>
      </c>
      <c r="Q37" s="7">
        <v>13.913</v>
      </c>
      <c r="R37" s="7" t="s">
        <v>45</v>
      </c>
      <c r="S37" s="6" t="s">
        <v>110</v>
      </c>
    </row>
    <row r="38" spans="1:19" ht="43.5" x14ac:dyDescent="0.35">
      <c r="A38" s="13" t="s">
        <v>36</v>
      </c>
      <c r="B38" s="5" t="s">
        <v>3</v>
      </c>
      <c r="C38" s="6" t="s">
        <v>6</v>
      </c>
      <c r="D38" s="14">
        <v>6.7000000000000004E-2</v>
      </c>
      <c r="E38">
        <v>0.71699999999999997</v>
      </c>
      <c r="L38" s="21" t="s">
        <v>111</v>
      </c>
      <c r="M38" s="7"/>
      <c r="N38" s="14"/>
      <c r="O38" s="7">
        <v>0.43</v>
      </c>
      <c r="P38" s="7">
        <v>3.7999999999999999E-2</v>
      </c>
      <c r="Q38" s="7">
        <v>11.327</v>
      </c>
      <c r="R38" s="7" t="s">
        <v>45</v>
      </c>
      <c r="S38" s="6" t="s">
        <v>112</v>
      </c>
    </row>
    <row r="39" spans="1:19" ht="43.5" x14ac:dyDescent="0.35">
      <c r="A39" s="13" t="s">
        <v>37</v>
      </c>
      <c r="B39" s="5" t="s">
        <v>3</v>
      </c>
      <c r="C39" s="6" t="s">
        <v>6</v>
      </c>
      <c r="D39" s="14">
        <v>0.57399999999999995</v>
      </c>
      <c r="E39">
        <v>0.43</v>
      </c>
      <c r="L39" s="22" t="s">
        <v>113</v>
      </c>
      <c r="M39" s="2"/>
      <c r="N39" s="3"/>
      <c r="O39" s="2">
        <v>0.66200000000000003</v>
      </c>
      <c r="P39" s="2">
        <v>4.7E-2</v>
      </c>
      <c r="Q39" s="2">
        <v>14.191000000000001</v>
      </c>
      <c r="R39" s="2" t="s">
        <v>45</v>
      </c>
      <c r="S39" s="18" t="s">
        <v>114</v>
      </c>
    </row>
    <row r="40" spans="1:19" ht="43.5" x14ac:dyDescent="0.35">
      <c r="A40" s="16" t="s">
        <v>38</v>
      </c>
      <c r="B40" s="17" t="s">
        <v>3</v>
      </c>
      <c r="C40" s="18" t="s">
        <v>6</v>
      </c>
      <c r="D40" s="3">
        <v>7.0000000000000001E-3</v>
      </c>
      <c r="E40">
        <v>0.66200000000000003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822A-AACF-4B79-9443-C8EFCB4F2278}">
  <dimension ref="A1:M44"/>
  <sheetViews>
    <sheetView topLeftCell="A38" workbookViewId="0">
      <selection activeCell="A42" sqref="A42:E44"/>
    </sheetView>
  </sheetViews>
  <sheetFormatPr defaultRowHeight="14.5" x14ac:dyDescent="0.35"/>
  <cols>
    <col min="1" max="1" width="18.90625" bestFit="1" customWidth="1"/>
  </cols>
  <sheetData>
    <row r="1" spans="1:13" x14ac:dyDescent="0.35">
      <c r="A1" t="s">
        <v>115</v>
      </c>
      <c r="C1" t="s">
        <v>116</v>
      </c>
      <c r="F1" t="s">
        <v>4</v>
      </c>
      <c r="I1" t="s">
        <v>117</v>
      </c>
      <c r="L1" t="s">
        <v>118</v>
      </c>
    </row>
    <row r="2" spans="1:13" x14ac:dyDescent="0.35">
      <c r="A2" t="s">
        <v>119</v>
      </c>
      <c r="B2" t="s">
        <v>120</v>
      </c>
      <c r="C2" t="s">
        <v>121</v>
      </c>
      <c r="D2" t="s">
        <v>122</v>
      </c>
      <c r="E2" t="s">
        <v>120</v>
      </c>
      <c r="F2" t="s">
        <v>121</v>
      </c>
      <c r="G2" t="s">
        <v>122</v>
      </c>
      <c r="H2" t="s">
        <v>120</v>
      </c>
      <c r="I2" t="s">
        <v>121</v>
      </c>
      <c r="J2" t="s">
        <v>122</v>
      </c>
      <c r="K2" t="s">
        <v>120</v>
      </c>
      <c r="L2" t="s">
        <v>121</v>
      </c>
      <c r="M2" t="s">
        <v>122</v>
      </c>
    </row>
    <row r="3" spans="1:13" x14ac:dyDescent="0.35">
      <c r="A3" t="s">
        <v>7</v>
      </c>
      <c r="B3" s="14">
        <v>0.187</v>
      </c>
      <c r="C3">
        <f>B3^2</f>
        <v>3.4969E-2</v>
      </c>
      <c r="D3">
        <v>0.78300000000000003</v>
      </c>
    </row>
    <row r="4" spans="1:13" x14ac:dyDescent="0.35">
      <c r="A4" t="s">
        <v>8</v>
      </c>
      <c r="B4" s="14">
        <v>0.38800000000000001</v>
      </c>
      <c r="C4">
        <f t="shared" ref="C4:C8" si="0">B4^2</f>
        <v>0.15054400000000001</v>
      </c>
      <c r="D4">
        <v>0.60099999999999998</v>
      </c>
    </row>
    <row r="5" spans="1:13" x14ac:dyDescent="0.35">
      <c r="A5" t="s">
        <v>9</v>
      </c>
      <c r="B5" s="14">
        <v>0.41</v>
      </c>
      <c r="C5">
        <f t="shared" si="0"/>
        <v>0.16809999999999997</v>
      </c>
      <c r="D5">
        <v>0.59299999999999997</v>
      </c>
    </row>
    <row r="6" spans="1:13" x14ac:dyDescent="0.35">
      <c r="A6" t="s">
        <v>10</v>
      </c>
      <c r="B6" s="14">
        <v>0.67700000000000005</v>
      </c>
      <c r="C6">
        <f t="shared" si="0"/>
        <v>0.45832900000000004</v>
      </c>
      <c r="D6">
        <v>0.42299999999999999</v>
      </c>
    </row>
    <row r="7" spans="1:13" x14ac:dyDescent="0.35">
      <c r="A7" t="s">
        <v>11</v>
      </c>
      <c r="B7" s="14">
        <v>0.63300000000000001</v>
      </c>
      <c r="C7">
        <f t="shared" si="0"/>
        <v>0.40068900000000002</v>
      </c>
      <c r="D7">
        <v>0.47499999999999998</v>
      </c>
    </row>
    <row r="8" spans="1:13" x14ac:dyDescent="0.35">
      <c r="A8" t="s">
        <v>12</v>
      </c>
      <c r="B8" s="14">
        <v>0.309</v>
      </c>
      <c r="C8">
        <f t="shared" si="0"/>
        <v>9.5480999999999996E-2</v>
      </c>
      <c r="D8">
        <v>0.57099999999999995</v>
      </c>
    </row>
    <row r="9" spans="1:13" x14ac:dyDescent="0.35">
      <c r="A9" s="13" t="s">
        <v>13</v>
      </c>
      <c r="E9" s="14">
        <v>0.64800000000000002</v>
      </c>
      <c r="F9">
        <f>E9^2</f>
        <v>0.419904</v>
      </c>
      <c r="G9">
        <v>0.46700000000000003</v>
      </c>
    </row>
    <row r="10" spans="1:13" x14ac:dyDescent="0.35">
      <c r="A10" s="13" t="s">
        <v>14</v>
      </c>
      <c r="E10" s="14">
        <v>0.63600000000000001</v>
      </c>
      <c r="F10">
        <f t="shared" ref="F10:F16" si="1">E10^2</f>
        <v>0.40449600000000002</v>
      </c>
      <c r="G10">
        <v>0.434</v>
      </c>
    </row>
    <row r="11" spans="1:13" x14ac:dyDescent="0.35">
      <c r="A11" s="13" t="s">
        <v>15</v>
      </c>
      <c r="E11" s="14">
        <v>0.55100000000000005</v>
      </c>
      <c r="F11">
        <f t="shared" si="1"/>
        <v>0.30360100000000007</v>
      </c>
      <c r="G11">
        <v>0.48299999999999998</v>
      </c>
    </row>
    <row r="12" spans="1:13" x14ac:dyDescent="0.35">
      <c r="A12" s="13" t="s">
        <v>16</v>
      </c>
      <c r="E12" s="14">
        <v>0.65700000000000003</v>
      </c>
      <c r="F12">
        <f t="shared" si="1"/>
        <v>0.43164900000000006</v>
      </c>
      <c r="G12">
        <v>0.39700000000000002</v>
      </c>
    </row>
    <row r="13" spans="1:13" x14ac:dyDescent="0.35">
      <c r="A13" s="13" t="s">
        <v>17</v>
      </c>
      <c r="E13" s="14">
        <v>0.41299999999999998</v>
      </c>
      <c r="F13">
        <f t="shared" si="1"/>
        <v>0.17056899999999997</v>
      </c>
      <c r="G13">
        <v>0.65600000000000003</v>
      </c>
    </row>
    <row r="14" spans="1:13" x14ac:dyDescent="0.35">
      <c r="A14" s="13" t="s">
        <v>18</v>
      </c>
      <c r="E14" s="14">
        <v>0.219</v>
      </c>
      <c r="F14">
        <f t="shared" si="1"/>
        <v>4.7960999999999997E-2</v>
      </c>
      <c r="G14">
        <v>0.69399999999999995</v>
      </c>
    </row>
    <row r="15" spans="1:13" x14ac:dyDescent="0.35">
      <c r="A15" s="13" t="s">
        <v>19</v>
      </c>
      <c r="E15" s="14">
        <v>0.192</v>
      </c>
      <c r="F15">
        <f t="shared" si="1"/>
        <v>3.6864000000000001E-2</v>
      </c>
      <c r="G15">
        <v>0.69299999999999995</v>
      </c>
    </row>
    <row r="16" spans="1:13" x14ac:dyDescent="0.35">
      <c r="A16" s="13" t="s">
        <v>20</v>
      </c>
      <c r="E16" s="14">
        <v>5.8999999999999997E-2</v>
      </c>
      <c r="F16">
        <f t="shared" si="1"/>
        <v>3.4809999999999997E-3</v>
      </c>
      <c r="G16">
        <v>0.73899999999999999</v>
      </c>
    </row>
    <row r="17" spans="1:13" x14ac:dyDescent="0.35">
      <c r="A17" s="13" t="s">
        <v>21</v>
      </c>
      <c r="H17" s="14">
        <v>0.35</v>
      </c>
      <c r="I17">
        <f>H17^2</f>
        <v>0.12249999999999998</v>
      </c>
      <c r="J17">
        <v>0.72499999999999998</v>
      </c>
    </row>
    <row r="18" spans="1:13" x14ac:dyDescent="0.35">
      <c r="A18" s="13" t="s">
        <v>22</v>
      </c>
      <c r="H18" s="14">
        <v>0.436</v>
      </c>
      <c r="I18">
        <f t="shared" ref="I18:I22" si="2">H18^2</f>
        <v>0.19009599999999999</v>
      </c>
      <c r="J18">
        <v>0.54800000000000004</v>
      </c>
    </row>
    <row r="19" spans="1:13" x14ac:dyDescent="0.35">
      <c r="A19" s="13" t="s">
        <v>23</v>
      </c>
      <c r="H19" s="14">
        <v>0.57899999999999996</v>
      </c>
      <c r="I19">
        <f t="shared" si="2"/>
        <v>0.33524099999999996</v>
      </c>
      <c r="J19">
        <v>0.54900000000000004</v>
      </c>
    </row>
    <row r="20" spans="1:13" x14ac:dyDescent="0.35">
      <c r="A20" s="13" t="s">
        <v>24</v>
      </c>
      <c r="H20" s="14">
        <v>0.76200000000000001</v>
      </c>
      <c r="I20">
        <f t="shared" si="2"/>
        <v>0.58064400000000005</v>
      </c>
      <c r="J20">
        <v>0.30499999999999999</v>
      </c>
    </row>
    <row r="21" spans="1:13" x14ac:dyDescent="0.35">
      <c r="A21" s="13" t="s">
        <v>25</v>
      </c>
      <c r="H21" s="14">
        <v>0.47199999999999998</v>
      </c>
      <c r="I21">
        <f t="shared" si="2"/>
        <v>0.22278399999999998</v>
      </c>
      <c r="J21">
        <v>0.60099999999999998</v>
      </c>
    </row>
    <row r="22" spans="1:13" x14ac:dyDescent="0.35">
      <c r="A22" s="13" t="s">
        <v>26</v>
      </c>
      <c r="H22" s="14">
        <v>0.47499999999999998</v>
      </c>
      <c r="I22">
        <f t="shared" si="2"/>
        <v>0.22562499999999999</v>
      </c>
      <c r="J22">
        <v>0.63500000000000001</v>
      </c>
    </row>
    <row r="23" spans="1:13" x14ac:dyDescent="0.35">
      <c r="A23" s="13" t="s">
        <v>27</v>
      </c>
      <c r="K23" s="14">
        <v>3.1E-2</v>
      </c>
      <c r="L23">
        <f t="shared" ref="L23:L34" si="3">K23^2</f>
        <v>9.6099999999999994E-4</v>
      </c>
      <c r="M23">
        <v>0.61399999999999999</v>
      </c>
    </row>
    <row r="24" spans="1:13" x14ac:dyDescent="0.35">
      <c r="A24" s="13" t="s">
        <v>28</v>
      </c>
      <c r="K24" s="14">
        <v>0.55800000000000005</v>
      </c>
      <c r="L24">
        <f t="shared" si="3"/>
        <v>0.31136400000000009</v>
      </c>
      <c r="M24">
        <v>0.53200000000000003</v>
      </c>
    </row>
    <row r="25" spans="1:13" x14ac:dyDescent="0.35">
      <c r="A25" s="13" t="s">
        <v>29</v>
      </c>
      <c r="K25" s="14">
        <v>0.13400000000000001</v>
      </c>
      <c r="L25">
        <f t="shared" si="3"/>
        <v>1.7956000000000003E-2</v>
      </c>
      <c r="M25">
        <v>0.73499999999999999</v>
      </c>
    </row>
    <row r="26" spans="1:13" x14ac:dyDescent="0.35">
      <c r="A26" s="13" t="s">
        <v>30</v>
      </c>
      <c r="K26" s="14">
        <v>4.4999999999999998E-2</v>
      </c>
      <c r="L26">
        <f t="shared" si="3"/>
        <v>2.0249999999999999E-3</v>
      </c>
      <c r="M26">
        <v>0.54700000000000004</v>
      </c>
    </row>
    <row r="27" spans="1:13" x14ac:dyDescent="0.35">
      <c r="A27" s="13" t="s">
        <v>31</v>
      </c>
      <c r="K27" s="14">
        <v>0.14399999999999999</v>
      </c>
      <c r="L27">
        <f t="shared" si="3"/>
        <v>2.0735999999999997E-2</v>
      </c>
      <c r="M27">
        <v>0.68600000000000005</v>
      </c>
    </row>
    <row r="28" spans="1:13" x14ac:dyDescent="0.35">
      <c r="A28" s="13" t="s">
        <v>32</v>
      </c>
      <c r="K28" s="14">
        <v>0.35099999999999998</v>
      </c>
      <c r="L28">
        <f t="shared" si="3"/>
        <v>0.12320099999999999</v>
      </c>
      <c r="M28">
        <v>0.56599999999999995</v>
      </c>
    </row>
    <row r="29" spans="1:13" x14ac:dyDescent="0.35">
      <c r="A29" s="13" t="s">
        <v>33</v>
      </c>
      <c r="K29" s="14">
        <v>0.47799999999999998</v>
      </c>
      <c r="L29">
        <f t="shared" si="3"/>
        <v>0.22848399999999999</v>
      </c>
      <c r="M29">
        <v>0.47799999999999998</v>
      </c>
    </row>
    <row r="30" spans="1:13" x14ac:dyDescent="0.35">
      <c r="A30" s="13" t="s">
        <v>34</v>
      </c>
      <c r="K30" s="14">
        <v>0.63300000000000001</v>
      </c>
      <c r="L30">
        <f t="shared" si="3"/>
        <v>0.40068900000000002</v>
      </c>
      <c r="M30">
        <v>0.40799999999999997</v>
      </c>
    </row>
    <row r="31" spans="1:13" x14ac:dyDescent="0.35">
      <c r="A31" s="13" t="s">
        <v>35</v>
      </c>
      <c r="K31" s="14">
        <v>0.49099999999999999</v>
      </c>
      <c r="L31">
        <f t="shared" si="3"/>
        <v>0.24108099999999999</v>
      </c>
      <c r="M31">
        <v>0.57599999999999996</v>
      </c>
    </row>
    <row r="32" spans="1:13" x14ac:dyDescent="0.35">
      <c r="A32" s="13" t="s">
        <v>36</v>
      </c>
      <c r="K32" s="14">
        <v>6.7000000000000004E-2</v>
      </c>
      <c r="L32">
        <f t="shared" si="3"/>
        <v>4.4890000000000008E-3</v>
      </c>
      <c r="M32">
        <v>0.71699999999999997</v>
      </c>
    </row>
    <row r="33" spans="1:13" x14ac:dyDescent="0.35">
      <c r="A33" s="13" t="s">
        <v>37</v>
      </c>
      <c r="K33" s="14">
        <v>0.57399999999999995</v>
      </c>
      <c r="L33">
        <f t="shared" si="3"/>
        <v>0.32947599999999994</v>
      </c>
      <c r="M33">
        <v>0.43</v>
      </c>
    </row>
    <row r="34" spans="1:13" x14ac:dyDescent="0.35">
      <c r="A34" s="16" t="s">
        <v>38</v>
      </c>
      <c r="K34" s="3">
        <v>7.0000000000000001E-3</v>
      </c>
      <c r="L34">
        <f t="shared" si="3"/>
        <v>4.9000000000000005E-5</v>
      </c>
      <c r="M34">
        <v>0.66200000000000003</v>
      </c>
    </row>
    <row r="35" spans="1:13" x14ac:dyDescent="0.35">
      <c r="A35" t="s">
        <v>123</v>
      </c>
      <c r="B35">
        <f>SUM(B3:B34)</f>
        <v>2.6040000000000001</v>
      </c>
      <c r="E35">
        <f t="shared" ref="C35:N35" si="4">SUM(E3:E34)</f>
        <v>3.375</v>
      </c>
      <c r="H35">
        <f t="shared" si="4"/>
        <v>3.0739999999999998</v>
      </c>
      <c r="K35">
        <f t="shared" si="4"/>
        <v>3.5130000000000003</v>
      </c>
    </row>
    <row r="36" spans="1:13" x14ac:dyDescent="0.35">
      <c r="A36" t="s">
        <v>124</v>
      </c>
      <c r="C36">
        <f>SUM(C3:C34)</f>
        <v>1.3081119999999999</v>
      </c>
      <c r="F36">
        <f>SUM(F3:F34)</f>
        <v>1.8185249999999999</v>
      </c>
      <c r="I36">
        <f>SUM(I3:I34)</f>
        <v>1.6768899999999998</v>
      </c>
      <c r="L36">
        <f>SUM(L3:L34)</f>
        <v>1.6805110000000001</v>
      </c>
    </row>
    <row r="37" spans="1:13" x14ac:dyDescent="0.35">
      <c r="A37" t="s">
        <v>125</v>
      </c>
      <c r="D37">
        <f>SUM(D3:D34)</f>
        <v>3.4459999999999997</v>
      </c>
      <c r="G37">
        <f>SUM(G3:G34)</f>
        <v>4.5629999999999997</v>
      </c>
      <c r="J37">
        <f>SUM(J3:J34)</f>
        <v>3.3630000000000004</v>
      </c>
      <c r="M37">
        <f>SUM(M3:M34)</f>
        <v>6.9509999999999987</v>
      </c>
    </row>
    <row r="38" spans="1:13" x14ac:dyDescent="0.35">
      <c r="A38" t="s">
        <v>126</v>
      </c>
      <c r="B38">
        <f>C36/(C36+D37)</f>
        <v>0.27515380369667358</v>
      </c>
      <c r="E38">
        <f>F36/(F36+G37)</f>
        <v>0.28496715126870142</v>
      </c>
      <c r="H38">
        <f>I36/(I36+J37)</f>
        <v>0.33272353166438151</v>
      </c>
      <c r="K38">
        <f>L36/(L36+M37)</f>
        <v>0.19469488018957518</v>
      </c>
    </row>
    <row r="39" spans="1:13" x14ac:dyDescent="0.35">
      <c r="A39" t="s">
        <v>127</v>
      </c>
      <c r="B39">
        <f>B35^2/(B35^2+D37)</f>
        <v>0.66304273001489422</v>
      </c>
      <c r="E39">
        <f>E35^2/(E35^2+G37)</f>
        <v>0.71398349904802205</v>
      </c>
      <c r="H39">
        <f>H35^2/(H35^2+J37)</f>
        <v>0.73752145955239246</v>
      </c>
      <c r="K39">
        <f>K35^2/(K35^2+M37)</f>
        <v>0.63969836673108149</v>
      </c>
    </row>
    <row r="42" spans="1:13" x14ac:dyDescent="0.35">
      <c r="A42" s="27" t="s">
        <v>115</v>
      </c>
      <c r="B42" s="27" t="s">
        <v>116</v>
      </c>
      <c r="C42" s="27" t="s">
        <v>4</v>
      </c>
      <c r="D42" s="27" t="s">
        <v>117</v>
      </c>
      <c r="E42" s="27" t="s">
        <v>118</v>
      </c>
    </row>
    <row r="43" spans="1:13" x14ac:dyDescent="0.35">
      <c r="A43" s="27" t="s">
        <v>126</v>
      </c>
      <c r="B43" s="27">
        <v>0.27515380369667358</v>
      </c>
      <c r="C43" s="27">
        <v>0.28496715126870142</v>
      </c>
      <c r="D43" s="27">
        <v>0.33272353166438151</v>
      </c>
      <c r="E43" s="27">
        <v>0.19469488018957518</v>
      </c>
    </row>
    <row r="44" spans="1:13" x14ac:dyDescent="0.35">
      <c r="A44" s="27" t="s">
        <v>127</v>
      </c>
      <c r="B44" s="27">
        <v>0.66304273001489422</v>
      </c>
      <c r="C44" s="27">
        <v>0.71398349904802205</v>
      </c>
      <c r="D44" s="27">
        <v>0.73752145955239246</v>
      </c>
      <c r="E44" s="27">
        <v>0.63969836673108149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ABC0-64AF-484D-A747-A6FD6356C419}">
  <dimension ref="A1:Q40"/>
  <sheetViews>
    <sheetView topLeftCell="E4" workbookViewId="0">
      <selection activeCell="K3" sqref="K3:Q8"/>
    </sheetView>
  </sheetViews>
  <sheetFormatPr defaultRowHeight="14.5" x14ac:dyDescent="0.35"/>
  <cols>
    <col min="11" max="11" width="8.453125" bestFit="1" customWidth="1"/>
    <col min="12" max="12" width="9" bestFit="1" customWidth="1"/>
    <col min="13" max="13" width="6.453125" bestFit="1" customWidth="1"/>
    <col min="14" max="14" width="5.26953125" bestFit="1" customWidth="1"/>
    <col min="15" max="15" width="6.453125" bestFit="1" customWidth="1"/>
    <col min="16" max="16" width="5.26953125" bestFit="1" customWidth="1"/>
    <col min="17" max="17" width="10.453125" bestFit="1" customWidth="1"/>
  </cols>
  <sheetData>
    <row r="1" spans="1:17" ht="23.5" x14ac:dyDescent="0.35">
      <c r="A1" s="1" t="s">
        <v>128</v>
      </c>
    </row>
    <row r="3" spans="1:17" x14ac:dyDescent="0.35">
      <c r="A3" s="9"/>
      <c r="B3" s="10"/>
      <c r="C3" s="11"/>
      <c r="D3" s="19" t="s">
        <v>1</v>
      </c>
      <c r="E3" s="19" t="s">
        <v>40</v>
      </c>
      <c r="F3" s="19" t="s">
        <v>41</v>
      </c>
      <c r="G3" s="19" t="s">
        <v>42</v>
      </c>
      <c r="H3" s="20" t="s">
        <v>43</v>
      </c>
      <c r="K3" s="27" t="s">
        <v>162</v>
      </c>
      <c r="L3" s="27" t="s">
        <v>163</v>
      </c>
      <c r="M3" s="27" t="s">
        <v>164</v>
      </c>
      <c r="N3" s="27" t="s">
        <v>165</v>
      </c>
      <c r="O3" s="27" t="s">
        <v>166</v>
      </c>
      <c r="P3" s="27" t="s">
        <v>42</v>
      </c>
      <c r="Q3" s="27" t="s">
        <v>167</v>
      </c>
    </row>
    <row r="4" spans="1:17" ht="43.5" x14ac:dyDescent="0.35">
      <c r="A4" s="13" t="s">
        <v>2</v>
      </c>
      <c r="B4" s="5" t="s">
        <v>3</v>
      </c>
      <c r="C4" s="6" t="s">
        <v>4</v>
      </c>
      <c r="D4" s="7">
        <v>0.122</v>
      </c>
      <c r="E4" s="7">
        <v>4.3999999999999997E-2</v>
      </c>
      <c r="F4" s="7">
        <v>2.754</v>
      </c>
      <c r="G4" s="7">
        <v>6.0000000000000001E-3</v>
      </c>
      <c r="H4" s="6" t="s">
        <v>129</v>
      </c>
      <c r="K4" s="27" t="s">
        <v>168</v>
      </c>
      <c r="L4" s="27" t="s">
        <v>173</v>
      </c>
      <c r="M4" s="28">
        <v>2.8000000000000001E-2</v>
      </c>
      <c r="N4" s="28">
        <v>0.14299999999999999</v>
      </c>
      <c r="O4" s="28">
        <v>0.192</v>
      </c>
      <c r="P4" s="28">
        <v>0.84799999999999998</v>
      </c>
      <c r="Q4" s="29" t="str">
        <f>IF(P4&lt;0.05,"Signifikan","Tidak Signifikan")</f>
        <v>Tidak Signifikan</v>
      </c>
    </row>
    <row r="5" spans="1:17" ht="43.5" x14ac:dyDescent="0.35">
      <c r="A5" s="13" t="s">
        <v>2</v>
      </c>
      <c r="B5" s="5" t="s">
        <v>3</v>
      </c>
      <c r="C5" s="6" t="s">
        <v>5</v>
      </c>
      <c r="D5" s="7">
        <v>2.8000000000000001E-2</v>
      </c>
      <c r="E5" s="7">
        <v>0.14299999999999999</v>
      </c>
      <c r="F5" s="7">
        <v>0.192</v>
      </c>
      <c r="G5" s="7">
        <v>0.84799999999999998</v>
      </c>
      <c r="H5" s="6" t="s">
        <v>130</v>
      </c>
      <c r="K5" s="27" t="s">
        <v>169</v>
      </c>
      <c r="L5" s="27" t="s">
        <v>174</v>
      </c>
      <c r="M5" s="28">
        <v>0.122</v>
      </c>
      <c r="N5" s="28">
        <v>4.3999999999999997E-2</v>
      </c>
      <c r="O5" s="28">
        <v>2.754</v>
      </c>
      <c r="P5" s="28">
        <v>6.0000000000000001E-3</v>
      </c>
      <c r="Q5" s="29" t="str">
        <f t="shared" ref="Q5:Q8" si="0">IF(P5&lt;0.05,"Signifikan","Tidak Signifikan")</f>
        <v>Signifikan</v>
      </c>
    </row>
    <row r="6" spans="1:17" ht="43.5" x14ac:dyDescent="0.35">
      <c r="A6" s="13" t="s">
        <v>6</v>
      </c>
      <c r="B6" s="5" t="s">
        <v>3</v>
      </c>
      <c r="C6" s="6" t="s">
        <v>5</v>
      </c>
      <c r="D6" s="8">
        <v>-4.2999999999999997E-2</v>
      </c>
      <c r="E6" s="7">
        <v>8.2000000000000003E-2</v>
      </c>
      <c r="F6" s="8">
        <v>-0.51900000000000002</v>
      </c>
      <c r="G6" s="7">
        <v>0.60399999999999998</v>
      </c>
      <c r="H6" s="6" t="s">
        <v>131</v>
      </c>
      <c r="K6" s="27" t="s">
        <v>170</v>
      </c>
      <c r="L6" s="27" t="s">
        <v>175</v>
      </c>
      <c r="M6" s="30">
        <v>-4.2999999999999997E-2</v>
      </c>
      <c r="N6" s="28">
        <v>8.2000000000000003E-2</v>
      </c>
      <c r="O6" s="30">
        <v>-0.51900000000000002</v>
      </c>
      <c r="P6" s="28">
        <v>0.60399999999999998</v>
      </c>
      <c r="Q6" s="29" t="str">
        <f t="shared" si="0"/>
        <v>Tidak Signifikan</v>
      </c>
    </row>
    <row r="7" spans="1:17" ht="43.5" x14ac:dyDescent="0.35">
      <c r="A7" s="13" t="s">
        <v>6</v>
      </c>
      <c r="B7" s="5" t="s">
        <v>3</v>
      </c>
      <c r="C7" s="6" t="s">
        <v>4</v>
      </c>
      <c r="D7" s="7">
        <v>0.03</v>
      </c>
      <c r="E7" s="7">
        <v>5.8000000000000003E-2</v>
      </c>
      <c r="F7" s="7">
        <v>0.52800000000000002</v>
      </c>
      <c r="G7" s="7">
        <v>0.59699999999999998</v>
      </c>
      <c r="H7" s="6" t="s">
        <v>132</v>
      </c>
      <c r="K7" s="27" t="s">
        <v>171</v>
      </c>
      <c r="L7" s="27" t="s">
        <v>176</v>
      </c>
      <c r="M7" s="28">
        <v>0.03</v>
      </c>
      <c r="N7" s="28">
        <v>5.8000000000000003E-2</v>
      </c>
      <c r="O7" s="28">
        <v>0.52800000000000002</v>
      </c>
      <c r="P7" s="28">
        <v>0.59699999999999998</v>
      </c>
      <c r="Q7" s="29" t="str">
        <f t="shared" si="0"/>
        <v>Tidak Signifikan</v>
      </c>
    </row>
    <row r="8" spans="1:17" ht="43.5" x14ac:dyDescent="0.35">
      <c r="A8" s="13" t="s">
        <v>6</v>
      </c>
      <c r="B8" s="5" t="s">
        <v>3</v>
      </c>
      <c r="C8" s="6" t="s">
        <v>2</v>
      </c>
      <c r="D8" s="8">
        <v>-6.0000000000000001E-3</v>
      </c>
      <c r="E8" s="7">
        <v>1.2999999999999999E-2</v>
      </c>
      <c r="F8" s="8">
        <v>-0.48299999999999998</v>
      </c>
      <c r="G8" s="7">
        <v>0.629</v>
      </c>
      <c r="H8" s="6" t="s">
        <v>133</v>
      </c>
      <c r="K8" s="27" t="s">
        <v>172</v>
      </c>
      <c r="L8" s="27" t="s">
        <v>177</v>
      </c>
      <c r="M8" s="30">
        <v>-6.0000000000000001E-3</v>
      </c>
      <c r="N8" s="28">
        <v>1.2999999999999999E-2</v>
      </c>
      <c r="O8" s="30">
        <v>-0.48299999999999998</v>
      </c>
      <c r="P8" s="28">
        <v>0.629</v>
      </c>
      <c r="Q8" s="29" t="str">
        <f t="shared" si="0"/>
        <v>Tidak Signifikan</v>
      </c>
    </row>
    <row r="9" spans="1:17" ht="29" x14ac:dyDescent="0.35">
      <c r="A9" s="13" t="s">
        <v>7</v>
      </c>
      <c r="B9" s="5" t="s">
        <v>3</v>
      </c>
      <c r="C9" s="6" t="s">
        <v>5</v>
      </c>
      <c r="D9" s="7">
        <v>1</v>
      </c>
      <c r="E9" s="4"/>
      <c r="H9" s="23"/>
    </row>
    <row r="10" spans="1:17" ht="29" x14ac:dyDescent="0.35">
      <c r="A10" s="13" t="s">
        <v>8</v>
      </c>
      <c r="B10" s="5" t="s">
        <v>3</v>
      </c>
      <c r="C10" s="6" t="s">
        <v>5</v>
      </c>
      <c r="D10" s="7">
        <v>1.9410000000000001</v>
      </c>
      <c r="E10" s="7">
        <v>0.68100000000000005</v>
      </c>
      <c r="F10" s="7">
        <v>2.851</v>
      </c>
      <c r="G10" s="7">
        <v>4.0000000000000001E-3</v>
      </c>
      <c r="H10" s="6" t="s">
        <v>134</v>
      </c>
    </row>
    <row r="11" spans="1:17" ht="29" x14ac:dyDescent="0.35">
      <c r="A11" s="13" t="s">
        <v>9</v>
      </c>
      <c r="B11" s="5" t="s">
        <v>3</v>
      </c>
      <c r="C11" s="6" t="s">
        <v>5</v>
      </c>
      <c r="D11" s="7">
        <v>2.0619999999999998</v>
      </c>
      <c r="E11" s="7">
        <v>0.70499999999999996</v>
      </c>
      <c r="F11" s="7">
        <v>2.9249999999999998</v>
      </c>
      <c r="G11" s="7">
        <v>3.0000000000000001E-3</v>
      </c>
      <c r="H11" s="6" t="s">
        <v>135</v>
      </c>
    </row>
    <row r="12" spans="1:17" ht="29" x14ac:dyDescent="0.35">
      <c r="A12" s="13" t="s">
        <v>10</v>
      </c>
      <c r="B12" s="5" t="s">
        <v>3</v>
      </c>
      <c r="C12" s="6" t="s">
        <v>5</v>
      </c>
      <c r="D12" s="7">
        <v>3.5609999999999999</v>
      </c>
      <c r="E12" s="7">
        <v>1.208</v>
      </c>
      <c r="F12" s="7">
        <v>2.9470000000000001</v>
      </c>
      <c r="G12" s="7">
        <v>3.0000000000000001E-3</v>
      </c>
      <c r="H12" s="6" t="s">
        <v>136</v>
      </c>
    </row>
    <row r="13" spans="1:17" ht="29" x14ac:dyDescent="0.35">
      <c r="A13" s="13" t="s">
        <v>11</v>
      </c>
      <c r="B13" s="5" t="s">
        <v>3</v>
      </c>
      <c r="C13" s="6" t="s">
        <v>5</v>
      </c>
      <c r="D13" s="7">
        <v>3.351</v>
      </c>
      <c r="E13" s="7">
        <v>1.125</v>
      </c>
      <c r="F13" s="7">
        <v>2.98</v>
      </c>
      <c r="G13" s="7">
        <v>3.0000000000000001E-3</v>
      </c>
      <c r="H13" s="6" t="s">
        <v>137</v>
      </c>
    </row>
    <row r="14" spans="1:17" ht="29" x14ac:dyDescent="0.35">
      <c r="A14" s="13" t="s">
        <v>12</v>
      </c>
      <c r="B14" s="5" t="s">
        <v>3</v>
      </c>
      <c r="C14" s="6" t="s">
        <v>5</v>
      </c>
      <c r="D14" s="7">
        <v>1.458</v>
      </c>
      <c r="E14" s="7">
        <v>0.55400000000000005</v>
      </c>
      <c r="F14" s="7">
        <v>2.63</v>
      </c>
      <c r="G14" s="7">
        <v>8.9999999999999993E-3</v>
      </c>
      <c r="H14" s="6" t="s">
        <v>138</v>
      </c>
    </row>
    <row r="15" spans="1:17" x14ac:dyDescent="0.35">
      <c r="A15" s="13" t="s">
        <v>13</v>
      </c>
      <c r="B15" s="5" t="s">
        <v>3</v>
      </c>
      <c r="C15" s="6" t="s">
        <v>4</v>
      </c>
      <c r="D15" s="7">
        <v>1</v>
      </c>
      <c r="E15" s="4"/>
      <c r="H15" s="23"/>
    </row>
    <row r="16" spans="1:17" x14ac:dyDescent="0.35">
      <c r="A16" s="13" t="s">
        <v>14</v>
      </c>
      <c r="B16" s="5" t="s">
        <v>3</v>
      </c>
      <c r="C16" s="6" t="s">
        <v>4</v>
      </c>
      <c r="D16" s="7">
        <v>0.93200000000000005</v>
      </c>
      <c r="E16" s="7">
        <v>9.6000000000000002E-2</v>
      </c>
      <c r="F16" s="7">
        <v>9.7420000000000009</v>
      </c>
      <c r="G16" s="7" t="s">
        <v>45</v>
      </c>
      <c r="H16" s="6" t="s">
        <v>139</v>
      </c>
    </row>
    <row r="17" spans="1:8" x14ac:dyDescent="0.35">
      <c r="A17" s="13" t="s">
        <v>15</v>
      </c>
      <c r="B17" s="5" t="s">
        <v>3</v>
      </c>
      <c r="C17" s="6" t="s">
        <v>4</v>
      </c>
      <c r="D17" s="7">
        <v>0.78800000000000003</v>
      </c>
      <c r="E17" s="7">
        <v>9.4E-2</v>
      </c>
      <c r="F17" s="7">
        <v>8.4139999999999997</v>
      </c>
      <c r="G17" s="7" t="s">
        <v>45</v>
      </c>
      <c r="H17" s="6" t="s">
        <v>140</v>
      </c>
    </row>
    <row r="18" spans="1:8" x14ac:dyDescent="0.35">
      <c r="A18" s="13" t="s">
        <v>16</v>
      </c>
      <c r="B18" s="5" t="s">
        <v>3</v>
      </c>
      <c r="C18" s="6" t="s">
        <v>4</v>
      </c>
      <c r="D18" s="7">
        <v>0.94199999999999995</v>
      </c>
      <c r="E18" s="7">
        <v>0.10199999999999999</v>
      </c>
      <c r="F18" s="7">
        <v>9.2520000000000007</v>
      </c>
      <c r="G18" s="7" t="s">
        <v>45</v>
      </c>
      <c r="H18" s="6" t="s">
        <v>141</v>
      </c>
    </row>
    <row r="19" spans="1:8" x14ac:dyDescent="0.35">
      <c r="A19" s="13" t="s">
        <v>17</v>
      </c>
      <c r="B19" s="5" t="s">
        <v>3</v>
      </c>
      <c r="C19" s="6" t="s">
        <v>4</v>
      </c>
      <c r="D19" s="7">
        <v>0.63100000000000001</v>
      </c>
      <c r="E19" s="7">
        <v>9.9000000000000005E-2</v>
      </c>
      <c r="F19" s="7">
        <v>6.359</v>
      </c>
      <c r="G19" s="7" t="s">
        <v>45</v>
      </c>
      <c r="H19" s="6" t="s">
        <v>142</v>
      </c>
    </row>
    <row r="20" spans="1:8" x14ac:dyDescent="0.35">
      <c r="A20" s="13" t="s">
        <v>18</v>
      </c>
      <c r="B20" s="5" t="s">
        <v>3</v>
      </c>
      <c r="C20" s="6" t="s">
        <v>4</v>
      </c>
      <c r="D20" s="7">
        <v>0.32100000000000001</v>
      </c>
      <c r="E20" s="7">
        <v>8.7999999999999995E-2</v>
      </c>
      <c r="F20" s="7">
        <v>3.6669999999999998</v>
      </c>
      <c r="G20" s="7" t="s">
        <v>45</v>
      </c>
      <c r="H20" s="6" t="s">
        <v>143</v>
      </c>
    </row>
    <row r="21" spans="1:8" x14ac:dyDescent="0.35">
      <c r="A21" s="13" t="s">
        <v>19</v>
      </c>
      <c r="B21" s="5" t="s">
        <v>3</v>
      </c>
      <c r="C21" s="6" t="s">
        <v>4</v>
      </c>
      <c r="D21" s="7">
        <v>0.28000000000000003</v>
      </c>
      <c r="E21" s="7">
        <v>8.6999999999999994E-2</v>
      </c>
      <c r="F21" s="7">
        <v>3.2080000000000002</v>
      </c>
      <c r="G21" s="7">
        <v>1E-3</v>
      </c>
      <c r="H21" s="6" t="s">
        <v>144</v>
      </c>
    </row>
    <row r="22" spans="1:8" x14ac:dyDescent="0.35">
      <c r="A22" s="13" t="s">
        <v>20</v>
      </c>
      <c r="B22" s="5" t="s">
        <v>3</v>
      </c>
      <c r="C22" s="6" t="s">
        <v>4</v>
      </c>
      <c r="D22" s="7">
        <v>8.6999999999999994E-2</v>
      </c>
      <c r="E22" s="7">
        <v>8.8999999999999996E-2</v>
      </c>
      <c r="F22" s="7">
        <v>0.97499999999999998</v>
      </c>
      <c r="G22" s="7">
        <v>0.33</v>
      </c>
      <c r="H22" s="6" t="s">
        <v>145</v>
      </c>
    </row>
    <row r="23" spans="1:8" ht="43.5" x14ac:dyDescent="0.35">
      <c r="A23" s="13" t="s">
        <v>21</v>
      </c>
      <c r="B23" s="5" t="s">
        <v>3</v>
      </c>
      <c r="C23" s="6" t="s">
        <v>2</v>
      </c>
      <c r="D23" s="7">
        <v>1</v>
      </c>
      <c r="E23" s="4"/>
      <c r="H23" s="23"/>
    </row>
    <row r="24" spans="1:8" ht="43.5" x14ac:dyDescent="0.35">
      <c r="A24" s="13" t="s">
        <v>22</v>
      </c>
      <c r="B24" s="5" t="s">
        <v>3</v>
      </c>
      <c r="C24" s="6" t="s">
        <v>2</v>
      </c>
      <c r="D24" s="7">
        <v>1.129</v>
      </c>
      <c r="E24" s="7">
        <v>0.218</v>
      </c>
      <c r="F24" s="7">
        <v>5.1779999999999999</v>
      </c>
      <c r="G24" s="7" t="s">
        <v>45</v>
      </c>
      <c r="H24" s="6" t="s">
        <v>146</v>
      </c>
    </row>
    <row r="25" spans="1:8" ht="43.5" x14ac:dyDescent="0.35">
      <c r="A25" s="13" t="s">
        <v>23</v>
      </c>
      <c r="B25" s="5" t="s">
        <v>3</v>
      </c>
      <c r="C25" s="6" t="s">
        <v>2</v>
      </c>
      <c r="D25" s="7">
        <v>1.653</v>
      </c>
      <c r="E25" s="7">
        <v>0.28799999999999998</v>
      </c>
      <c r="F25" s="7">
        <v>5.7450000000000001</v>
      </c>
      <c r="G25" s="7" t="s">
        <v>45</v>
      </c>
      <c r="H25" s="6" t="s">
        <v>147</v>
      </c>
    </row>
    <row r="26" spans="1:8" ht="43.5" x14ac:dyDescent="0.35">
      <c r="A26" s="13" t="s">
        <v>24</v>
      </c>
      <c r="B26" s="5" t="s">
        <v>3</v>
      </c>
      <c r="C26" s="6" t="s">
        <v>2</v>
      </c>
      <c r="D26" s="7">
        <v>2.0470000000000002</v>
      </c>
      <c r="E26" s="7">
        <v>0.36399999999999999</v>
      </c>
      <c r="F26" s="7">
        <v>5.6239999999999997</v>
      </c>
      <c r="G26" s="7" t="s">
        <v>45</v>
      </c>
      <c r="H26" s="6" t="s">
        <v>148</v>
      </c>
    </row>
    <row r="27" spans="1:8" ht="43.5" x14ac:dyDescent="0.35">
      <c r="A27" s="13" t="s">
        <v>25</v>
      </c>
      <c r="B27" s="5" t="s">
        <v>3</v>
      </c>
      <c r="C27" s="6" t="s">
        <v>2</v>
      </c>
      <c r="D27" s="7">
        <v>1.3049999999999999</v>
      </c>
      <c r="E27" s="7">
        <v>0.255</v>
      </c>
      <c r="F27" s="7">
        <v>5.1079999999999997</v>
      </c>
      <c r="G27" s="7" t="s">
        <v>45</v>
      </c>
      <c r="H27" s="6" t="s">
        <v>149</v>
      </c>
    </row>
    <row r="28" spans="1:8" ht="43.5" x14ac:dyDescent="0.35">
      <c r="A28" s="13" t="s">
        <v>26</v>
      </c>
      <c r="B28" s="5" t="s">
        <v>3</v>
      </c>
      <c r="C28" s="6" t="s">
        <v>2</v>
      </c>
      <c r="D28" s="7">
        <v>1.3540000000000001</v>
      </c>
      <c r="E28" s="7">
        <v>0.26600000000000001</v>
      </c>
      <c r="F28" s="7">
        <v>5.0869999999999997</v>
      </c>
      <c r="G28" s="7" t="s">
        <v>45</v>
      </c>
      <c r="H28" s="6" t="s">
        <v>150</v>
      </c>
    </row>
    <row r="29" spans="1:8" ht="43.5" x14ac:dyDescent="0.35">
      <c r="A29" s="13" t="s">
        <v>27</v>
      </c>
      <c r="B29" s="5" t="s">
        <v>3</v>
      </c>
      <c r="C29" s="6" t="s">
        <v>6</v>
      </c>
      <c r="D29" s="7">
        <v>1</v>
      </c>
      <c r="E29" s="4"/>
      <c r="H29" s="23"/>
    </row>
    <row r="30" spans="1:8" ht="43.5" x14ac:dyDescent="0.35">
      <c r="A30" s="13" t="s">
        <v>28</v>
      </c>
      <c r="B30" s="5" t="s">
        <v>3</v>
      </c>
      <c r="C30" s="6" t="s">
        <v>6</v>
      </c>
      <c r="D30" s="7">
        <v>19.901</v>
      </c>
      <c r="E30" s="7">
        <v>37.750999999999998</v>
      </c>
      <c r="F30" s="7">
        <v>0.52700000000000002</v>
      </c>
      <c r="G30" s="7">
        <v>0.59799999999999998</v>
      </c>
      <c r="H30" s="6" t="s">
        <v>151</v>
      </c>
    </row>
    <row r="31" spans="1:8" ht="43.5" x14ac:dyDescent="0.35">
      <c r="A31" s="13" t="s">
        <v>29</v>
      </c>
      <c r="B31" s="5" t="s">
        <v>3</v>
      </c>
      <c r="C31" s="6" t="s">
        <v>6</v>
      </c>
      <c r="D31" s="7">
        <v>4.6890000000000001</v>
      </c>
      <c r="E31" s="7">
        <v>8.7119999999999997</v>
      </c>
      <c r="F31" s="7">
        <v>0.53800000000000003</v>
      </c>
      <c r="G31" s="7">
        <v>0.59</v>
      </c>
      <c r="H31" s="6" t="s">
        <v>152</v>
      </c>
    </row>
    <row r="32" spans="1:8" ht="43.5" x14ac:dyDescent="0.35">
      <c r="A32" s="13" t="s">
        <v>30</v>
      </c>
      <c r="B32" s="5" t="s">
        <v>3</v>
      </c>
      <c r="C32" s="6" t="s">
        <v>6</v>
      </c>
      <c r="D32" s="7">
        <v>1.3480000000000001</v>
      </c>
      <c r="E32" s="7">
        <v>3.1160000000000001</v>
      </c>
      <c r="F32" s="7">
        <v>0.433</v>
      </c>
      <c r="G32" s="7">
        <v>0.66500000000000004</v>
      </c>
      <c r="H32" s="6" t="s">
        <v>153</v>
      </c>
    </row>
    <row r="33" spans="1:8" ht="43.5" x14ac:dyDescent="0.35">
      <c r="A33" s="13" t="s">
        <v>31</v>
      </c>
      <c r="B33" s="5" t="s">
        <v>3</v>
      </c>
      <c r="C33" s="6" t="s">
        <v>6</v>
      </c>
      <c r="D33" s="7">
        <v>4.8849999999999998</v>
      </c>
      <c r="E33" s="7">
        <v>9.3650000000000002</v>
      </c>
      <c r="F33" s="7">
        <v>0.52200000000000002</v>
      </c>
      <c r="G33" s="7">
        <v>0.60199999999999998</v>
      </c>
      <c r="H33" s="6" t="s">
        <v>154</v>
      </c>
    </row>
    <row r="34" spans="1:8" ht="43.5" x14ac:dyDescent="0.35">
      <c r="A34" s="13" t="s">
        <v>32</v>
      </c>
      <c r="B34" s="5" t="s">
        <v>3</v>
      </c>
      <c r="C34" s="6" t="s">
        <v>6</v>
      </c>
      <c r="D34" s="7">
        <v>11.459</v>
      </c>
      <c r="E34" s="7">
        <v>21.785</v>
      </c>
      <c r="F34" s="7">
        <v>0.52600000000000002</v>
      </c>
      <c r="G34" s="7">
        <v>0.59899999999999998</v>
      </c>
      <c r="H34" s="6" t="s">
        <v>155</v>
      </c>
    </row>
    <row r="35" spans="1:8" ht="43.5" x14ac:dyDescent="0.35">
      <c r="A35" s="13" t="s">
        <v>33</v>
      </c>
      <c r="B35" s="5" t="s">
        <v>3</v>
      </c>
      <c r="C35" s="6" t="s">
        <v>6</v>
      </c>
      <c r="D35" s="7">
        <v>15.278</v>
      </c>
      <c r="E35" s="7">
        <v>28.917999999999999</v>
      </c>
      <c r="F35" s="7">
        <v>0.52800000000000002</v>
      </c>
      <c r="G35" s="7">
        <v>0.59699999999999998</v>
      </c>
      <c r="H35" s="6" t="s">
        <v>156</v>
      </c>
    </row>
    <row r="36" spans="1:8" ht="43.5" x14ac:dyDescent="0.35">
      <c r="A36" s="13" t="s">
        <v>34</v>
      </c>
      <c r="B36" s="5" t="s">
        <v>3</v>
      </c>
      <c r="C36" s="6" t="s">
        <v>6</v>
      </c>
      <c r="D36" s="7">
        <v>21.181999999999999</v>
      </c>
      <c r="E36" s="7">
        <v>40.091000000000001</v>
      </c>
      <c r="F36" s="7">
        <v>0.52800000000000002</v>
      </c>
      <c r="G36" s="7">
        <v>0.59699999999999998</v>
      </c>
      <c r="H36" s="6" t="s">
        <v>157</v>
      </c>
    </row>
    <row r="37" spans="1:8" ht="43.5" x14ac:dyDescent="0.35">
      <c r="A37" s="13" t="s">
        <v>35</v>
      </c>
      <c r="B37" s="5" t="s">
        <v>3</v>
      </c>
      <c r="C37" s="6" t="s">
        <v>6</v>
      </c>
      <c r="D37" s="7">
        <v>17.358000000000001</v>
      </c>
      <c r="E37" s="7">
        <v>32.881</v>
      </c>
      <c r="F37" s="7">
        <v>0.52800000000000002</v>
      </c>
      <c r="G37" s="7">
        <v>0.59799999999999998</v>
      </c>
      <c r="H37" s="6" t="s">
        <v>158</v>
      </c>
    </row>
    <row r="38" spans="1:8" ht="43.5" x14ac:dyDescent="0.35">
      <c r="A38" s="13" t="s">
        <v>36</v>
      </c>
      <c r="B38" s="5" t="s">
        <v>3</v>
      </c>
      <c r="C38" s="6" t="s">
        <v>6</v>
      </c>
      <c r="D38" s="7">
        <v>2.3039999999999998</v>
      </c>
      <c r="E38" s="7">
        <v>4.3540000000000001</v>
      </c>
      <c r="F38" s="7">
        <v>0.52900000000000003</v>
      </c>
      <c r="G38" s="7">
        <v>0.59699999999999998</v>
      </c>
      <c r="H38" s="6" t="s">
        <v>159</v>
      </c>
    </row>
    <row r="39" spans="1:8" ht="43.5" x14ac:dyDescent="0.35">
      <c r="A39" s="13" t="s">
        <v>37</v>
      </c>
      <c r="B39" s="5" t="s">
        <v>3</v>
      </c>
      <c r="C39" s="6" t="s">
        <v>6</v>
      </c>
      <c r="D39" s="7">
        <v>18.645</v>
      </c>
      <c r="E39" s="7">
        <v>35.377000000000002</v>
      </c>
      <c r="F39" s="7">
        <v>0.52700000000000002</v>
      </c>
      <c r="G39" s="7">
        <v>0.59799999999999998</v>
      </c>
      <c r="H39" s="6" t="s">
        <v>160</v>
      </c>
    </row>
    <row r="40" spans="1:8" ht="43.5" x14ac:dyDescent="0.35">
      <c r="A40" s="16" t="s">
        <v>38</v>
      </c>
      <c r="B40" s="17" t="s">
        <v>3</v>
      </c>
      <c r="C40" s="18" t="s">
        <v>6</v>
      </c>
      <c r="D40" s="2">
        <v>0.23899999999999999</v>
      </c>
      <c r="E40" s="2">
        <v>2.0059999999999998</v>
      </c>
      <c r="F40" s="2">
        <v>0.11899999999999999</v>
      </c>
      <c r="G40" s="2">
        <v>0.90500000000000003</v>
      </c>
      <c r="H40" s="18" t="s">
        <v>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AFDE-9823-4632-B093-87CB8EECF636}">
  <dimension ref="A1:G16"/>
  <sheetViews>
    <sheetView tabSelected="1" workbookViewId="0">
      <selection activeCell="A11" sqref="A11:E14"/>
    </sheetView>
  </sheetViews>
  <sheetFormatPr defaultRowHeight="14.5" x14ac:dyDescent="0.35"/>
  <cols>
    <col min="1" max="1" width="8.453125" bestFit="1" customWidth="1"/>
    <col min="2" max="2" width="12.453125" bestFit="1" customWidth="1"/>
    <col min="3" max="3" width="11.81640625" bestFit="1" customWidth="1"/>
    <col min="4" max="4" width="10.81640625" bestFit="1" customWidth="1"/>
    <col min="5" max="5" width="13.7265625" bestFit="1" customWidth="1"/>
  </cols>
  <sheetData>
    <row r="1" spans="1:7" x14ac:dyDescent="0.35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42</v>
      </c>
      <c r="G1" t="s">
        <v>167</v>
      </c>
    </row>
    <row r="2" spans="1:7" x14ac:dyDescent="0.35">
      <c r="A2" t="s">
        <v>168</v>
      </c>
      <c r="B2" t="s">
        <v>173</v>
      </c>
      <c r="C2">
        <v>2.8000000000000001E-2</v>
      </c>
      <c r="D2">
        <v>0.14299999999999999</v>
      </c>
      <c r="E2">
        <v>0.192</v>
      </c>
      <c r="F2">
        <v>0.84799999999999998</v>
      </c>
      <c r="G2" t="s">
        <v>178</v>
      </c>
    </row>
    <row r="3" spans="1:7" x14ac:dyDescent="0.35">
      <c r="A3" t="s">
        <v>169</v>
      </c>
      <c r="B3" t="s">
        <v>174</v>
      </c>
      <c r="C3">
        <v>0.122</v>
      </c>
      <c r="D3">
        <v>4.3999999999999997E-2</v>
      </c>
      <c r="E3">
        <v>2.754</v>
      </c>
      <c r="F3">
        <v>6.0000000000000001E-3</v>
      </c>
      <c r="G3" t="s">
        <v>179</v>
      </c>
    </row>
    <row r="4" spans="1:7" x14ac:dyDescent="0.35">
      <c r="A4" t="s">
        <v>170</v>
      </c>
      <c r="B4" t="s">
        <v>175</v>
      </c>
      <c r="C4">
        <v>-4.2999999999999997E-2</v>
      </c>
      <c r="D4">
        <v>8.2000000000000003E-2</v>
      </c>
      <c r="E4">
        <v>-0.51900000000000002</v>
      </c>
      <c r="F4">
        <v>0.60399999999999998</v>
      </c>
      <c r="G4" t="s">
        <v>178</v>
      </c>
    </row>
    <row r="5" spans="1:7" x14ac:dyDescent="0.35">
      <c r="A5" t="s">
        <v>171</v>
      </c>
      <c r="B5" t="s">
        <v>176</v>
      </c>
      <c r="C5">
        <v>0.03</v>
      </c>
      <c r="D5">
        <v>5.8000000000000003E-2</v>
      </c>
      <c r="E5">
        <v>0.52800000000000002</v>
      </c>
      <c r="F5">
        <v>0.59699999999999998</v>
      </c>
      <c r="G5" t="s">
        <v>178</v>
      </c>
    </row>
    <row r="6" spans="1:7" x14ac:dyDescent="0.35">
      <c r="A6" t="s">
        <v>172</v>
      </c>
      <c r="B6" t="s">
        <v>177</v>
      </c>
      <c r="C6">
        <v>-6.0000000000000001E-3</v>
      </c>
      <c r="D6">
        <v>1.2999999999999999E-2</v>
      </c>
      <c r="E6">
        <v>-0.48299999999999998</v>
      </c>
      <c r="F6">
        <v>0.629</v>
      </c>
      <c r="G6" t="s">
        <v>178</v>
      </c>
    </row>
    <row r="11" spans="1:7" x14ac:dyDescent="0.35">
      <c r="A11" s="31" t="s">
        <v>162</v>
      </c>
      <c r="B11" s="31" t="s">
        <v>163</v>
      </c>
      <c r="C11" s="31" t="s">
        <v>182</v>
      </c>
      <c r="D11" s="31"/>
      <c r="E11" s="31" t="s">
        <v>167</v>
      </c>
    </row>
    <row r="12" spans="1:7" x14ac:dyDescent="0.35">
      <c r="A12" s="31"/>
      <c r="B12" s="31"/>
      <c r="C12" s="27" t="s">
        <v>183</v>
      </c>
      <c r="D12" s="27" t="s">
        <v>184</v>
      </c>
      <c r="E12" s="31"/>
    </row>
    <row r="13" spans="1:7" x14ac:dyDescent="0.35">
      <c r="A13" s="27" t="s">
        <v>185</v>
      </c>
      <c r="B13" s="27" t="s">
        <v>180</v>
      </c>
      <c r="C13" s="27">
        <f>(C2*C4)/SQRT(((C4^2)*(D2^2))+((C2^2)*(D4^2)))</f>
        <v>-0.18343384990058834</v>
      </c>
      <c r="D13" s="27">
        <v>0.85445762000000003</v>
      </c>
      <c r="E13" s="27" t="s">
        <v>178</v>
      </c>
    </row>
    <row r="14" spans="1:7" x14ac:dyDescent="0.35">
      <c r="A14" s="27" t="s">
        <v>186</v>
      </c>
      <c r="B14" s="27" t="s">
        <v>181</v>
      </c>
      <c r="C14" s="27">
        <f>(C3*C5)/SQRT(((C5^2)*(D3^2))+((C3^2)*(D5^2)))</f>
        <v>0.50846980673973363</v>
      </c>
      <c r="D14" s="27">
        <v>0.61112390999999999</v>
      </c>
      <c r="E14" s="27" t="s">
        <v>178</v>
      </c>
    </row>
    <row r="16" spans="1:7" x14ac:dyDescent="0.35">
      <c r="A16" t="s">
        <v>187</v>
      </c>
      <c r="B16">
        <f>384-4</f>
        <v>380</v>
      </c>
    </row>
  </sheetData>
  <mergeCells count="4">
    <mergeCell ref="B11:B12"/>
    <mergeCell ref="C11:D11"/>
    <mergeCell ref="E11:E12"/>
    <mergeCell ref="A11:A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Goodness of Fit</vt:lpstr>
      <vt:lpstr>Loading Factor dan Error</vt:lpstr>
      <vt:lpstr>Validitas dan Reliabilitas</vt:lpstr>
      <vt:lpstr>Pengaruh Langsung</vt:lpstr>
      <vt:lpstr>Pengaruh Tidak Langsung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2024-11-11T18:06:13Z</dcterms:created>
  <dcterms:modified xsi:type="dcterms:W3CDTF">2024-11-12T03:05:36Z</dcterms:modified>
</cp:coreProperties>
</file>